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o\Documents\"/>
    </mc:Choice>
  </mc:AlternateContent>
  <xr:revisionPtr revIDLastSave="0" documentId="13_ncr:1_{F9C647BE-A845-4E60-A75E-19281D84341B}" xr6:coauthVersionLast="47" xr6:coauthVersionMax="47" xr10:uidLastSave="{00000000-0000-0000-0000-000000000000}"/>
  <bookViews>
    <workbookView xWindow="-110" yWindow="-110" windowWidth="22620" windowHeight="13500" activeTab="1" xr2:uid="{70A490EA-AB86-4B7C-9415-71A0FC438867}"/>
  </bookViews>
  <sheets>
    <sheet name="NN" sheetId="1" r:id="rId1"/>
    <sheet name="UI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30" i="2" s="1"/>
  <c r="E6" i="2"/>
  <c r="E30" i="2" s="1"/>
  <c r="D7" i="2"/>
  <c r="D31" i="2" s="1"/>
  <c r="E7" i="2"/>
  <c r="E31" i="2" s="1"/>
  <c r="D8" i="2"/>
  <c r="D32" i="2" s="1"/>
  <c r="E8" i="2"/>
  <c r="E32" i="2" s="1"/>
  <c r="D9" i="2"/>
  <c r="D33" i="2" s="1"/>
  <c r="E9" i="2"/>
  <c r="E33" i="2" s="1"/>
  <c r="D10" i="2"/>
  <c r="D34" i="2" s="1"/>
  <c r="E10" i="2"/>
  <c r="E34" i="2" s="1"/>
  <c r="D11" i="2"/>
  <c r="D35" i="2" s="1"/>
  <c r="E11" i="2"/>
  <c r="E35" i="2" s="1"/>
  <c r="D12" i="2"/>
  <c r="D36" i="2" s="1"/>
  <c r="E12" i="2"/>
  <c r="E36" i="2" s="1"/>
  <c r="D13" i="2"/>
  <c r="D37" i="2" s="1"/>
  <c r="E13" i="2"/>
  <c r="E37" i="2" s="1"/>
  <c r="D14" i="2"/>
  <c r="D38" i="2" s="1"/>
  <c r="E14" i="2"/>
  <c r="E38" i="2" s="1"/>
  <c r="D15" i="2"/>
  <c r="D39" i="2" s="1"/>
  <c r="E15" i="2"/>
  <c r="E39" i="2" s="1"/>
  <c r="D16" i="2"/>
  <c r="D40" i="2" s="1"/>
  <c r="E16" i="2"/>
  <c r="E40" i="2" s="1"/>
  <c r="D17" i="2"/>
  <c r="D41" i="2" s="1"/>
  <c r="E17" i="2"/>
  <c r="E41" i="2" s="1"/>
  <c r="D18" i="2"/>
  <c r="D42" i="2" s="1"/>
  <c r="E18" i="2"/>
  <c r="E42" i="2" s="1"/>
  <c r="D19" i="2"/>
  <c r="D43" i="2" s="1"/>
  <c r="E19" i="2"/>
  <c r="E43" i="2" s="1"/>
  <c r="D20" i="2"/>
  <c r="D44" i="2" s="1"/>
  <c r="E20" i="2"/>
  <c r="E44" i="2" s="1"/>
  <c r="D21" i="2"/>
  <c r="D45" i="2" s="1"/>
  <c r="E21" i="2"/>
  <c r="E45" i="2" s="1"/>
  <c r="D22" i="2"/>
  <c r="D46" i="2" s="1"/>
  <c r="E22" i="2"/>
  <c r="E46" i="2" s="1"/>
  <c r="D23" i="2"/>
  <c r="D47" i="2" s="1"/>
  <c r="E23" i="2"/>
  <c r="E47" i="2" s="1"/>
  <c r="D24" i="2"/>
  <c r="D48" i="2" s="1"/>
  <c r="E24" i="2"/>
  <c r="E48" i="2" s="1"/>
  <c r="E5" i="2"/>
  <c r="E29" i="2" s="1"/>
  <c r="D5" i="2"/>
  <c r="D29" i="2" s="1"/>
  <c r="AE28" i="1"/>
  <c r="AF28" i="1"/>
  <c r="AE10" i="1"/>
  <c r="AF10" i="1"/>
  <c r="AE11" i="1"/>
  <c r="AF11" i="1"/>
  <c r="AE12" i="1"/>
  <c r="AF12" i="1"/>
  <c r="AE13" i="1"/>
  <c r="AF13" i="1"/>
  <c r="AE14" i="1"/>
  <c r="AF14" i="1"/>
  <c r="AE15" i="1"/>
  <c r="AF15" i="1"/>
  <c r="AE16" i="1"/>
  <c r="AF16" i="1"/>
  <c r="AE17" i="1"/>
  <c r="AF17" i="1"/>
  <c r="AE18" i="1"/>
  <c r="AF18" i="1"/>
  <c r="AE19" i="1"/>
  <c r="AF19" i="1"/>
  <c r="AE20" i="1"/>
  <c r="AF20" i="1"/>
  <c r="AE21" i="1"/>
  <c r="AF21" i="1"/>
  <c r="AE22" i="1"/>
  <c r="AF22" i="1"/>
  <c r="AE23" i="1"/>
  <c r="AF23" i="1"/>
  <c r="AE24" i="1"/>
  <c r="AF24" i="1"/>
  <c r="AE25" i="1"/>
  <c r="AF25" i="1"/>
  <c r="AE26" i="1"/>
  <c r="AF26" i="1"/>
  <c r="AE27" i="1"/>
  <c r="AF27" i="1"/>
  <c r="AF9" i="1"/>
  <c r="AE9" i="1"/>
  <c r="AI11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C127" i="1"/>
  <c r="AF120" i="1"/>
  <c r="AG117" i="1"/>
  <c r="AH117" i="1"/>
  <c r="AG118" i="1"/>
  <c r="AF118" i="1"/>
  <c r="AF117" i="1"/>
  <c r="AJ29" i="1"/>
  <c r="E28" i="2"/>
  <c r="D27" i="2"/>
  <c r="V7" i="1"/>
  <c r="Y3" i="2" s="1"/>
  <c r="Y27" i="2" s="1"/>
  <c r="U7" i="1"/>
  <c r="X3" i="2" s="1"/>
  <c r="X27" i="2" s="1"/>
  <c r="T7" i="1"/>
  <c r="W3" i="2" s="1"/>
  <c r="W27" i="2" s="1"/>
  <c r="S7" i="1"/>
  <c r="V3" i="2" s="1"/>
  <c r="V27" i="2" s="1"/>
  <c r="R7" i="1"/>
  <c r="U3" i="2" s="1"/>
  <c r="U27" i="2" s="1"/>
  <c r="Q7" i="1"/>
  <c r="T3" i="2" s="1"/>
  <c r="T27" i="2" s="1"/>
  <c r="P7" i="1"/>
  <c r="S3" i="2" s="1"/>
  <c r="S27" i="2" s="1"/>
  <c r="O7" i="1"/>
  <c r="R3" i="2" s="1"/>
  <c r="R27" i="2" s="1"/>
  <c r="N7" i="1"/>
  <c r="Q3" i="2" s="1"/>
  <c r="Q27" i="2" s="1"/>
  <c r="M7" i="1"/>
  <c r="P3" i="2" s="1"/>
  <c r="P27" i="2" s="1"/>
  <c r="L7" i="1"/>
  <c r="O3" i="2" s="1"/>
  <c r="O27" i="2" s="1"/>
  <c r="K7" i="1"/>
  <c r="N3" i="2" s="1"/>
  <c r="N27" i="2" s="1"/>
  <c r="J7" i="1"/>
  <c r="M3" i="2" s="1"/>
  <c r="M27" i="2" s="1"/>
  <c r="I7" i="1"/>
  <c r="L3" i="2" s="1"/>
  <c r="L27" i="2" s="1"/>
  <c r="G7" i="1"/>
  <c r="J3" i="2" s="1"/>
  <c r="J27" i="2" s="1"/>
  <c r="F7" i="1"/>
  <c r="I3" i="2" s="1"/>
  <c r="I27" i="2" s="1"/>
  <c r="E7" i="1"/>
  <c r="H3" i="2" s="1"/>
  <c r="H27" i="2" s="1"/>
  <c r="D7" i="1"/>
  <c r="G3" i="2" s="1"/>
  <c r="G27" i="2" s="1"/>
  <c r="C7" i="1"/>
  <c r="F3" i="2" s="1"/>
  <c r="F27" i="2" s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32" i="1"/>
  <c r="AC2" i="1"/>
  <c r="AH49" i="2" s="1"/>
  <c r="AG49" i="2"/>
  <c r="E8" i="1"/>
  <c r="F8" i="1"/>
  <c r="G8" i="1"/>
  <c r="J4" i="2" s="1"/>
  <c r="J28" i="2" s="1"/>
  <c r="K8" i="1"/>
  <c r="L8" i="1"/>
  <c r="S8" i="1"/>
  <c r="V8" i="1"/>
  <c r="H7" i="1"/>
  <c r="K3" i="2" s="1"/>
  <c r="K27" i="2" s="1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29" i="2"/>
  <c r="X51" i="1"/>
  <c r="Y5" i="1" s="1"/>
  <c r="Z3" i="1"/>
  <c r="R8" i="1"/>
  <c r="U4" i="2" s="1"/>
  <c r="U28" i="2" s="1"/>
  <c r="P8" i="1"/>
  <c r="O8" i="1"/>
  <c r="R4" i="2" s="1"/>
  <c r="R28" i="2" s="1"/>
  <c r="I8" i="1"/>
  <c r="H8" i="1"/>
  <c r="K4" i="2" s="1"/>
  <c r="K28" i="2" s="1"/>
  <c r="C8" i="1"/>
  <c r="Z2" i="1"/>
  <c r="C9" i="1" l="1"/>
  <c r="I16" i="1"/>
  <c r="P16" i="1"/>
  <c r="I28" i="1"/>
  <c r="L25" i="1"/>
  <c r="L23" i="1"/>
  <c r="K18" i="1"/>
  <c r="Y134" i="1"/>
  <c r="Y146" i="1"/>
  <c r="Y145" i="1"/>
  <c r="Y142" i="1"/>
  <c r="Y129" i="1"/>
  <c r="Y138" i="1"/>
  <c r="Y139" i="1"/>
  <c r="Y127" i="1"/>
  <c r="Y128" i="1"/>
  <c r="Y140" i="1"/>
  <c r="Y133" i="1"/>
  <c r="Y137" i="1"/>
  <c r="Y144" i="1"/>
  <c r="Y132" i="1"/>
  <c r="Y131" i="1"/>
  <c r="Y143" i="1"/>
  <c r="Y141" i="1"/>
  <c r="Y130" i="1"/>
  <c r="Y135" i="1"/>
  <c r="Y136" i="1"/>
  <c r="AG120" i="1"/>
  <c r="AH118" i="1"/>
  <c r="AJ30" i="1"/>
  <c r="H27" i="1"/>
  <c r="H15" i="1"/>
  <c r="H26" i="1"/>
  <c r="I14" i="1"/>
  <c r="H10" i="1"/>
  <c r="C14" i="1"/>
  <c r="E14" i="1"/>
  <c r="V14" i="1"/>
  <c r="Y4" i="2"/>
  <c r="Y28" i="2" s="1"/>
  <c r="S9" i="1"/>
  <c r="H14" i="1"/>
  <c r="J8" i="1"/>
  <c r="J23" i="1" s="1"/>
  <c r="I10" i="1"/>
  <c r="I26" i="1"/>
  <c r="I17" i="1"/>
  <c r="H17" i="1"/>
  <c r="P17" i="1"/>
  <c r="S28" i="1"/>
  <c r="T8" i="1"/>
  <c r="T24" i="1" s="1"/>
  <c r="P15" i="1"/>
  <c r="D8" i="1"/>
  <c r="U8" i="1"/>
  <c r="U26" i="1" s="1"/>
  <c r="L4" i="2"/>
  <c r="L28" i="2" s="1"/>
  <c r="I27" i="1"/>
  <c r="K15" i="1"/>
  <c r="F13" i="1"/>
  <c r="I15" i="1"/>
  <c r="O19" i="1"/>
  <c r="AE49" i="2"/>
  <c r="S15" i="1"/>
  <c r="S14" i="1"/>
  <c r="S27" i="1"/>
  <c r="V4" i="2"/>
  <c r="V28" i="2" s="1"/>
  <c r="L14" i="1"/>
  <c r="L27" i="1"/>
  <c r="L26" i="1"/>
  <c r="I4" i="2"/>
  <c r="I28" i="2" s="1"/>
  <c r="F15" i="1"/>
  <c r="E27" i="1"/>
  <c r="F14" i="1"/>
  <c r="K14" i="1"/>
  <c r="N8" i="1"/>
  <c r="S20" i="1"/>
  <c r="C26" i="1"/>
  <c r="C27" i="1"/>
  <c r="F4" i="2"/>
  <c r="F28" i="2" s="1"/>
  <c r="K26" i="1"/>
  <c r="K16" i="1"/>
  <c r="L16" i="1"/>
  <c r="O4" i="2"/>
  <c r="O28" i="2" s="1"/>
  <c r="K28" i="1"/>
  <c r="K11" i="1"/>
  <c r="L11" i="1"/>
  <c r="G10" i="1"/>
  <c r="H4" i="2"/>
  <c r="H28" i="2" s="1"/>
  <c r="E28" i="1"/>
  <c r="C28" i="1"/>
  <c r="F27" i="1"/>
  <c r="S26" i="1"/>
  <c r="S12" i="1"/>
  <c r="C18" i="1"/>
  <c r="N4" i="2"/>
  <c r="N28" i="2" s="1"/>
  <c r="K23" i="1"/>
  <c r="C17" i="1"/>
  <c r="F26" i="1"/>
  <c r="S4" i="2"/>
  <c r="S28" i="2" s="1"/>
  <c r="P14" i="1"/>
  <c r="C22" i="1"/>
  <c r="H22" i="1"/>
  <c r="I22" i="1"/>
  <c r="K22" i="1"/>
  <c r="C16" i="1"/>
  <c r="E26" i="1"/>
  <c r="L15" i="1"/>
  <c r="Q8" i="1"/>
  <c r="Q12" i="1" s="1"/>
  <c r="L21" i="1"/>
  <c r="E9" i="1"/>
  <c r="F9" i="1"/>
  <c r="I9" i="1"/>
  <c r="K9" i="1"/>
  <c r="L9" i="1"/>
  <c r="F24" i="1"/>
  <c r="P11" i="1"/>
  <c r="L22" i="1"/>
  <c r="K10" i="1"/>
  <c r="K27" i="1"/>
  <c r="R15" i="1"/>
  <c r="M8" i="1"/>
  <c r="I18" i="1"/>
  <c r="P12" i="1"/>
  <c r="G25" i="1"/>
  <c r="O24" i="1"/>
  <c r="F22" i="1"/>
  <c r="F23" i="1"/>
  <c r="S13" i="1"/>
  <c r="E10" i="1"/>
  <c r="E11" i="1"/>
  <c r="L24" i="1"/>
  <c r="F11" i="1"/>
  <c r="L12" i="1"/>
  <c r="S22" i="1"/>
  <c r="S24" i="1"/>
  <c r="C10" i="1"/>
  <c r="I24" i="1"/>
  <c r="L13" i="1"/>
  <c r="S10" i="1"/>
  <c r="H24" i="1"/>
  <c r="L10" i="1"/>
  <c r="R11" i="1"/>
  <c r="C24" i="1"/>
  <c r="L28" i="1"/>
  <c r="O22" i="1"/>
  <c r="H18" i="1"/>
  <c r="E13" i="1"/>
  <c r="K25" i="1"/>
  <c r="I25" i="1"/>
  <c r="I23" i="1"/>
  <c r="K12" i="1"/>
  <c r="F25" i="1"/>
  <c r="H23" i="1"/>
  <c r="I11" i="1"/>
  <c r="F10" i="1"/>
  <c r="C13" i="1"/>
  <c r="I12" i="1"/>
  <c r="H11" i="1"/>
  <c r="C12" i="1"/>
  <c r="E23" i="1"/>
  <c r="R13" i="1"/>
  <c r="F12" i="1"/>
  <c r="C11" i="1"/>
  <c r="K24" i="1"/>
  <c r="P13" i="1"/>
  <c r="R22" i="1"/>
  <c r="S11" i="1"/>
  <c r="C25" i="1"/>
  <c r="P10" i="1"/>
  <c r="C23" i="1"/>
  <c r="S25" i="1"/>
  <c r="K20" i="1"/>
  <c r="L20" i="1"/>
  <c r="R20" i="1"/>
  <c r="I20" i="1"/>
  <c r="E18" i="1"/>
  <c r="F18" i="1"/>
  <c r="E20" i="1"/>
  <c r="S17" i="1"/>
  <c r="S21" i="1"/>
  <c r="F28" i="1"/>
  <c r="V16" i="1"/>
  <c r="R16" i="1"/>
  <c r="E16" i="1"/>
  <c r="S16" i="1"/>
  <c r="K21" i="1"/>
  <c r="S19" i="1"/>
  <c r="L17" i="1"/>
  <c r="F16" i="1"/>
  <c r="G17" i="1"/>
  <c r="I21" i="1"/>
  <c r="K17" i="1"/>
  <c r="F19" i="1"/>
  <c r="E19" i="1"/>
  <c r="K19" i="1"/>
  <c r="L19" i="1"/>
  <c r="I19" i="1"/>
  <c r="F20" i="1"/>
  <c r="H21" i="1"/>
  <c r="C21" i="1"/>
  <c r="F21" i="1"/>
  <c r="C20" i="1"/>
  <c r="S18" i="1"/>
  <c r="F17" i="1"/>
  <c r="C19" i="1"/>
  <c r="L18" i="1"/>
  <c r="E17" i="1"/>
  <c r="K13" i="1"/>
  <c r="P18" i="1"/>
  <c r="E12" i="1"/>
  <c r="E25" i="1"/>
  <c r="I13" i="1"/>
  <c r="R12" i="1"/>
  <c r="C15" i="1"/>
  <c r="V26" i="1"/>
  <c r="V9" i="1"/>
  <c r="S23" i="1"/>
  <c r="R27" i="1"/>
  <c r="R23" i="1"/>
  <c r="R9" i="1"/>
  <c r="R24" i="1"/>
  <c r="R25" i="1"/>
  <c r="R18" i="1"/>
  <c r="R17" i="1"/>
  <c r="P27" i="1"/>
  <c r="P28" i="1"/>
  <c r="P9" i="1"/>
  <c r="P26" i="1"/>
  <c r="P25" i="1"/>
  <c r="P21" i="1"/>
  <c r="P20" i="1"/>
  <c r="P19" i="1"/>
  <c r="P24" i="1"/>
  <c r="P23" i="1"/>
  <c r="P22" i="1"/>
  <c r="O17" i="1"/>
  <c r="O9" i="1"/>
  <c r="O27" i="1"/>
  <c r="O16" i="1"/>
  <c r="O14" i="1"/>
  <c r="O15" i="1"/>
  <c r="O25" i="1"/>
  <c r="O13" i="1"/>
  <c r="O23" i="1"/>
  <c r="O21" i="1"/>
  <c r="O11" i="1"/>
  <c r="H25" i="1"/>
  <c r="H20" i="1"/>
  <c r="H13" i="1"/>
  <c r="H9" i="1"/>
  <c r="H19" i="1"/>
  <c r="H16" i="1"/>
  <c r="H12" i="1"/>
  <c r="H28" i="1"/>
  <c r="G13" i="1"/>
  <c r="G27" i="1"/>
  <c r="G15" i="1"/>
  <c r="G20" i="1"/>
  <c r="G22" i="1"/>
  <c r="E22" i="1"/>
  <c r="E15" i="1"/>
  <c r="E21" i="1"/>
  <c r="E24" i="1"/>
  <c r="V18" i="1"/>
  <c r="V20" i="1"/>
  <c r="V25" i="1"/>
  <c r="V10" i="1"/>
  <c r="V21" i="1"/>
  <c r="V23" i="1"/>
  <c r="V11" i="1"/>
  <c r="V13" i="1"/>
  <c r="V15" i="1"/>
  <c r="V12" i="1"/>
  <c r="V28" i="1"/>
  <c r="V22" i="1"/>
  <c r="V27" i="1"/>
  <c r="V17" i="1"/>
  <c r="V24" i="1"/>
  <c r="V19" i="1"/>
  <c r="R19" i="1"/>
  <c r="R26" i="1"/>
  <c r="R10" i="1"/>
  <c r="R28" i="1"/>
  <c r="R21" i="1"/>
  <c r="R14" i="1"/>
  <c r="O20" i="1"/>
  <c r="O18" i="1"/>
  <c r="O12" i="1"/>
  <c r="O10" i="1"/>
  <c r="O28" i="1"/>
  <c r="O26" i="1"/>
  <c r="G18" i="1"/>
  <c r="G23" i="1"/>
  <c r="G11" i="1"/>
  <c r="G28" i="1"/>
  <c r="G16" i="1"/>
  <c r="G21" i="1"/>
  <c r="G9" i="1"/>
  <c r="G26" i="1"/>
  <c r="G14" i="1"/>
  <c r="G19" i="1"/>
  <c r="G24" i="1"/>
  <c r="G12" i="1"/>
  <c r="AC141" i="1" l="1"/>
  <c r="AB43" i="2" s="1"/>
  <c r="AA43" i="2"/>
  <c r="AC131" i="1"/>
  <c r="AB33" i="2" s="1"/>
  <c r="AA33" i="2"/>
  <c r="AC132" i="1"/>
  <c r="AB34" i="2" s="1"/>
  <c r="AA34" i="2"/>
  <c r="AC137" i="1"/>
  <c r="AB39" i="2" s="1"/>
  <c r="AA39" i="2"/>
  <c r="AC140" i="1"/>
  <c r="AB42" i="2" s="1"/>
  <c r="AA42" i="2"/>
  <c r="AC139" i="1"/>
  <c r="AB41" i="2" s="1"/>
  <c r="AA41" i="2"/>
  <c r="AC129" i="1"/>
  <c r="AB31" i="2" s="1"/>
  <c r="AA31" i="2"/>
  <c r="AC143" i="1"/>
  <c r="AB45" i="2" s="1"/>
  <c r="AA45" i="2"/>
  <c r="AC142" i="1"/>
  <c r="AB44" i="2" s="1"/>
  <c r="AA44" i="2"/>
  <c r="AC145" i="1"/>
  <c r="AB47" i="2" s="1"/>
  <c r="AA47" i="2"/>
  <c r="AC146" i="1"/>
  <c r="AB48" i="2" s="1"/>
  <c r="AA48" i="2"/>
  <c r="AC144" i="1"/>
  <c r="AB46" i="2" s="1"/>
  <c r="AA46" i="2"/>
  <c r="AC134" i="1"/>
  <c r="AB36" i="2" s="1"/>
  <c r="AA36" i="2"/>
  <c r="AC133" i="1"/>
  <c r="AB35" i="2" s="1"/>
  <c r="AA35" i="2"/>
  <c r="AC128" i="1"/>
  <c r="AB30" i="2" s="1"/>
  <c r="AA30" i="2"/>
  <c r="AC136" i="1"/>
  <c r="AB38" i="2" s="1"/>
  <c r="AA38" i="2"/>
  <c r="AC127" i="1"/>
  <c r="AB29" i="2" s="1"/>
  <c r="AA29" i="2"/>
  <c r="AC135" i="1"/>
  <c r="AB37" i="2" s="1"/>
  <c r="AA37" i="2"/>
  <c r="AC130" i="1"/>
  <c r="AB32" i="2" s="1"/>
  <c r="AA32" i="2"/>
  <c r="AC138" i="1"/>
  <c r="AB40" i="2" s="1"/>
  <c r="AA40" i="2"/>
  <c r="M121" i="1"/>
  <c r="M73" i="1" s="1"/>
  <c r="P22" i="2" s="1"/>
  <c r="J17" i="1"/>
  <c r="J21" i="1"/>
  <c r="J19" i="1"/>
  <c r="J13" i="1"/>
  <c r="U10" i="1"/>
  <c r="U19" i="1"/>
  <c r="U20" i="1"/>
  <c r="J11" i="1"/>
  <c r="R104" i="1"/>
  <c r="R56" i="1" s="1"/>
  <c r="U5" i="2" s="1"/>
  <c r="N117" i="1"/>
  <c r="N69" i="1" s="1"/>
  <c r="Q18" i="2" s="1"/>
  <c r="I114" i="1"/>
  <c r="I66" i="1" s="1"/>
  <c r="L15" i="2" s="1"/>
  <c r="M18" i="1"/>
  <c r="V121" i="1"/>
  <c r="V73" i="1" s="1"/>
  <c r="Y22" i="2" s="1"/>
  <c r="M25" i="1"/>
  <c r="J20" i="1"/>
  <c r="J121" i="1"/>
  <c r="J73" i="1" s="1"/>
  <c r="M22" i="2" s="1"/>
  <c r="O107" i="1"/>
  <c r="O59" i="1" s="1"/>
  <c r="R8" i="2" s="1"/>
  <c r="D24" i="1"/>
  <c r="K120" i="1"/>
  <c r="K72" i="1" s="1"/>
  <c r="N21" i="2" s="1"/>
  <c r="M14" i="1"/>
  <c r="U11" i="1"/>
  <c r="M10" i="1"/>
  <c r="I119" i="1"/>
  <c r="I71" i="1" s="1"/>
  <c r="L20" i="2" s="1"/>
  <c r="D26" i="1"/>
  <c r="J27" i="1"/>
  <c r="D28" i="1"/>
  <c r="D21" i="1"/>
  <c r="J110" i="1"/>
  <c r="J62" i="1" s="1"/>
  <c r="M11" i="2" s="1"/>
  <c r="J9" i="1"/>
  <c r="I113" i="1"/>
  <c r="I65" i="1" s="1"/>
  <c r="L14" i="2" s="1"/>
  <c r="Q16" i="1"/>
  <c r="D22" i="1"/>
  <c r="Q25" i="1"/>
  <c r="D25" i="1"/>
  <c r="O108" i="1"/>
  <c r="O60" i="1" s="1"/>
  <c r="R9" i="2" s="1"/>
  <c r="T107" i="1"/>
  <c r="T59" i="1" s="1"/>
  <c r="W8" i="2" s="1"/>
  <c r="G121" i="1"/>
  <c r="G73" i="1" s="1"/>
  <c r="J22" i="2" s="1"/>
  <c r="E122" i="1"/>
  <c r="E74" i="1" s="1"/>
  <c r="H23" i="2" s="1"/>
  <c r="C104" i="1"/>
  <c r="Y56" i="1" s="1"/>
  <c r="Q15" i="1"/>
  <c r="T122" i="1"/>
  <c r="T74" i="1" s="1"/>
  <c r="W23" i="2" s="1"/>
  <c r="J112" i="1"/>
  <c r="J64" i="1" s="1"/>
  <c r="M13" i="2" s="1"/>
  <c r="T113" i="1"/>
  <c r="T65" i="1" s="1"/>
  <c r="W14" i="2" s="1"/>
  <c r="I109" i="1"/>
  <c r="I61" i="1" s="1"/>
  <c r="L10" i="2" s="1"/>
  <c r="G122" i="1"/>
  <c r="G74" i="1" s="1"/>
  <c r="J23" i="2" s="1"/>
  <c r="I112" i="1"/>
  <c r="I64" i="1" s="1"/>
  <c r="L13" i="2" s="1"/>
  <c r="U114" i="1"/>
  <c r="U66" i="1" s="1"/>
  <c r="X15" i="2" s="1"/>
  <c r="F111" i="1"/>
  <c r="F63" i="1" s="1"/>
  <c r="I12" i="2" s="1"/>
  <c r="M110" i="1"/>
  <c r="M62" i="1" s="1"/>
  <c r="P11" i="2" s="1"/>
  <c r="G112" i="1"/>
  <c r="G64" i="1" s="1"/>
  <c r="J13" i="2" s="1"/>
  <c r="H114" i="1"/>
  <c r="H66" i="1" s="1"/>
  <c r="K15" i="2" s="1"/>
  <c r="P111" i="1"/>
  <c r="P63" i="1" s="1"/>
  <c r="S12" i="2" s="1"/>
  <c r="T11" i="1"/>
  <c r="R118" i="1"/>
  <c r="R70" i="1" s="1"/>
  <c r="U19" i="2" s="1"/>
  <c r="R106" i="1"/>
  <c r="R58" i="1" s="1"/>
  <c r="U7" i="2" s="1"/>
  <c r="O105" i="1"/>
  <c r="O57" i="1" s="1"/>
  <c r="R6" i="2" s="1"/>
  <c r="M117" i="1"/>
  <c r="M69" i="1" s="1"/>
  <c r="P18" i="2" s="1"/>
  <c r="T13" i="1"/>
  <c r="F122" i="1"/>
  <c r="F74" i="1" s="1"/>
  <c r="I23" i="2" s="1"/>
  <c r="M105" i="1"/>
  <c r="M57" i="1" s="1"/>
  <c r="P6" i="2" s="1"/>
  <c r="U105" i="1"/>
  <c r="U57" i="1" s="1"/>
  <c r="X6" i="2" s="1"/>
  <c r="N107" i="1"/>
  <c r="N59" i="1" s="1"/>
  <c r="Q8" i="2" s="1"/>
  <c r="P115" i="1"/>
  <c r="P67" i="1" s="1"/>
  <c r="S16" i="2" s="1"/>
  <c r="E105" i="1"/>
  <c r="E57" i="1" s="1"/>
  <c r="H6" i="2" s="1"/>
  <c r="N118" i="1"/>
  <c r="N70" i="1" s="1"/>
  <c r="Q19" i="2" s="1"/>
  <c r="N123" i="1"/>
  <c r="N75" i="1" s="1"/>
  <c r="Q24" i="2" s="1"/>
  <c r="N16" i="1"/>
  <c r="N104" i="1"/>
  <c r="N56" i="1" s="1"/>
  <c r="Q5" i="2" s="1"/>
  <c r="N22" i="1"/>
  <c r="L107" i="1"/>
  <c r="L59" i="1" s="1"/>
  <c r="O8" i="2" s="1"/>
  <c r="U123" i="1"/>
  <c r="U75" i="1" s="1"/>
  <c r="X24" i="2" s="1"/>
  <c r="N109" i="1"/>
  <c r="N61" i="1" s="1"/>
  <c r="Q10" i="2" s="1"/>
  <c r="M107" i="1"/>
  <c r="M59" i="1" s="1"/>
  <c r="P8" i="2" s="1"/>
  <c r="F115" i="1"/>
  <c r="F67" i="1" s="1"/>
  <c r="I16" i="2" s="1"/>
  <c r="J113" i="1"/>
  <c r="J65" i="1" s="1"/>
  <c r="M14" i="2" s="1"/>
  <c r="U104" i="1"/>
  <c r="U56" i="1" s="1"/>
  <c r="X5" i="2" s="1"/>
  <c r="M112" i="1"/>
  <c r="M64" i="1" s="1"/>
  <c r="P13" i="2" s="1"/>
  <c r="O118" i="1"/>
  <c r="O70" i="1" s="1"/>
  <c r="R19" i="2" s="1"/>
  <c r="L106" i="1"/>
  <c r="L58" i="1" s="1"/>
  <c r="O7" i="2" s="1"/>
  <c r="V110" i="1"/>
  <c r="V62" i="1" s="1"/>
  <c r="Y11" i="2" s="1"/>
  <c r="H108" i="1"/>
  <c r="AD60" i="1" s="1"/>
  <c r="G116" i="1"/>
  <c r="G68" i="1" s="1"/>
  <c r="J17" i="2" s="1"/>
  <c r="N105" i="1"/>
  <c r="N57" i="1" s="1"/>
  <c r="Q6" i="2" s="1"/>
  <c r="P116" i="1"/>
  <c r="P68" i="1" s="1"/>
  <c r="S17" i="2" s="1"/>
  <c r="N115" i="1"/>
  <c r="N67" i="1" s="1"/>
  <c r="Q16" i="2" s="1"/>
  <c r="K121" i="1"/>
  <c r="K73" i="1" s="1"/>
  <c r="N22" i="2" s="1"/>
  <c r="N122" i="1"/>
  <c r="N74" i="1" s="1"/>
  <c r="Q23" i="2" s="1"/>
  <c r="N21" i="1"/>
  <c r="N112" i="1"/>
  <c r="N64" i="1" s="1"/>
  <c r="Q13" i="2" s="1"/>
  <c r="E104" i="1"/>
  <c r="E56" i="1" s="1"/>
  <c r="H5" i="2" s="1"/>
  <c r="O115" i="1"/>
  <c r="O67" i="1" s="1"/>
  <c r="R16" i="2" s="1"/>
  <c r="S115" i="1"/>
  <c r="S67" i="1" s="1"/>
  <c r="V16" i="2" s="1"/>
  <c r="C107" i="1"/>
  <c r="C59" i="1" s="1"/>
  <c r="F8" i="2" s="1"/>
  <c r="H121" i="1"/>
  <c r="H73" i="1" s="1"/>
  <c r="K22" i="2" s="1"/>
  <c r="D109" i="1"/>
  <c r="D61" i="1" s="1"/>
  <c r="G10" i="2" s="1"/>
  <c r="M108" i="1"/>
  <c r="M60" i="1" s="1"/>
  <c r="P9" i="2" s="1"/>
  <c r="E120" i="1"/>
  <c r="E72" i="1" s="1"/>
  <c r="H21" i="2" s="1"/>
  <c r="N28" i="1"/>
  <c r="R123" i="1"/>
  <c r="R75" i="1" s="1"/>
  <c r="U24" i="2" s="1"/>
  <c r="R121" i="1"/>
  <c r="R73" i="1" s="1"/>
  <c r="U22" i="2" s="1"/>
  <c r="U112" i="1"/>
  <c r="U64" i="1" s="1"/>
  <c r="X13" i="2" s="1"/>
  <c r="N108" i="1"/>
  <c r="N60" i="1" s="1"/>
  <c r="Q9" i="2" s="1"/>
  <c r="M116" i="1"/>
  <c r="M68" i="1" s="1"/>
  <c r="P17" i="2" s="1"/>
  <c r="C120" i="1"/>
  <c r="C72" i="1" s="1"/>
  <c r="F21" i="2" s="1"/>
  <c r="Q119" i="1"/>
  <c r="Q71" i="1" s="1"/>
  <c r="T20" i="2" s="1"/>
  <c r="U107" i="1"/>
  <c r="U59" i="1" s="1"/>
  <c r="X8" i="2" s="1"/>
  <c r="V119" i="1"/>
  <c r="V71" i="1" s="1"/>
  <c r="Y20" i="2" s="1"/>
  <c r="J116" i="1"/>
  <c r="J68" i="1" s="1"/>
  <c r="M17" i="2" s="1"/>
  <c r="L115" i="1"/>
  <c r="L67" i="1" s="1"/>
  <c r="O16" i="2" s="1"/>
  <c r="V118" i="1"/>
  <c r="V70" i="1" s="1"/>
  <c r="Y19" i="2" s="1"/>
  <c r="I121" i="1"/>
  <c r="I73" i="1" s="1"/>
  <c r="L22" i="2" s="1"/>
  <c r="N110" i="1"/>
  <c r="N62" i="1" s="1"/>
  <c r="Q11" i="2" s="1"/>
  <c r="Q120" i="1"/>
  <c r="Q72" i="1" s="1"/>
  <c r="T21" i="2" s="1"/>
  <c r="N119" i="1"/>
  <c r="N71" i="1" s="1"/>
  <c r="Q20" i="2" s="1"/>
  <c r="P123" i="1"/>
  <c r="P75" i="1" s="1"/>
  <c r="S24" i="2" s="1"/>
  <c r="S108" i="1"/>
  <c r="S60" i="1" s="1"/>
  <c r="V9" i="2" s="1"/>
  <c r="S112" i="1"/>
  <c r="AO64" i="1" s="1"/>
  <c r="Q121" i="1"/>
  <c r="Q73" i="1" s="1"/>
  <c r="T22" i="2" s="1"/>
  <c r="M118" i="1"/>
  <c r="M70" i="1" s="1"/>
  <c r="P19" i="2" s="1"/>
  <c r="E115" i="1"/>
  <c r="E67" i="1" s="1"/>
  <c r="H16" i="2" s="1"/>
  <c r="N113" i="1"/>
  <c r="N65" i="1" s="1"/>
  <c r="Q14" i="2" s="1"/>
  <c r="H116" i="1"/>
  <c r="H68" i="1" s="1"/>
  <c r="K17" i="2" s="1"/>
  <c r="V104" i="1"/>
  <c r="V56" i="1" s="1"/>
  <c r="Y5" i="2" s="1"/>
  <c r="P112" i="1"/>
  <c r="P64" i="1" s="1"/>
  <c r="S13" i="2" s="1"/>
  <c r="R117" i="1"/>
  <c r="R69" i="1" s="1"/>
  <c r="U18" i="2" s="1"/>
  <c r="O123" i="1"/>
  <c r="O75" i="1" s="1"/>
  <c r="R24" i="2" s="1"/>
  <c r="H122" i="1"/>
  <c r="H74" i="1" s="1"/>
  <c r="K23" i="2" s="1"/>
  <c r="R110" i="1"/>
  <c r="R62" i="1" s="1"/>
  <c r="U11" i="2" s="1"/>
  <c r="D111" i="1"/>
  <c r="D63" i="1" s="1"/>
  <c r="G12" i="2" s="1"/>
  <c r="D106" i="1"/>
  <c r="D58" i="1" s="1"/>
  <c r="G7" i="2" s="1"/>
  <c r="J120" i="1"/>
  <c r="J72" i="1" s="1"/>
  <c r="M21" i="2" s="1"/>
  <c r="G107" i="1"/>
  <c r="G59" i="1" s="1"/>
  <c r="J8" i="2" s="1"/>
  <c r="S113" i="1"/>
  <c r="S65" i="1" s="1"/>
  <c r="V14" i="2" s="1"/>
  <c r="H106" i="1"/>
  <c r="H58" i="1" s="1"/>
  <c r="K7" i="2" s="1"/>
  <c r="I118" i="1"/>
  <c r="I70" i="1" s="1"/>
  <c r="L19" i="2" s="1"/>
  <c r="O121" i="1"/>
  <c r="O73" i="1" s="1"/>
  <c r="R22" i="2" s="1"/>
  <c r="H113" i="1"/>
  <c r="H65" i="1" s="1"/>
  <c r="K14" i="2" s="1"/>
  <c r="H120" i="1"/>
  <c r="H72" i="1" s="1"/>
  <c r="K21" i="2" s="1"/>
  <c r="Q118" i="1"/>
  <c r="Q70" i="1" s="1"/>
  <c r="T19" i="2" s="1"/>
  <c r="L123" i="1"/>
  <c r="L75" i="1" s="1"/>
  <c r="O24" i="2" s="1"/>
  <c r="J122" i="1"/>
  <c r="J74" i="1" s="1"/>
  <c r="M23" i="2" s="1"/>
  <c r="K110" i="1"/>
  <c r="K62" i="1" s="1"/>
  <c r="N11" i="2" s="1"/>
  <c r="V115" i="1"/>
  <c r="V67" i="1" s="1"/>
  <c r="Y16" i="2" s="1"/>
  <c r="C116" i="1"/>
  <c r="C68" i="1" s="1"/>
  <c r="F17" i="2" s="1"/>
  <c r="V113" i="1"/>
  <c r="V65" i="1" s="1"/>
  <c r="Y14" i="2" s="1"/>
  <c r="V107" i="1"/>
  <c r="V59" i="1" s="1"/>
  <c r="Y8" i="2" s="1"/>
  <c r="U113" i="1"/>
  <c r="U65" i="1" s="1"/>
  <c r="X14" i="2" s="1"/>
  <c r="F105" i="1"/>
  <c r="F57" i="1" s="1"/>
  <c r="I6" i="2" s="1"/>
  <c r="J104" i="1"/>
  <c r="J56" i="1" s="1"/>
  <c r="M5" i="2" s="1"/>
  <c r="F112" i="1"/>
  <c r="F64" i="1" s="1"/>
  <c r="I13" i="2" s="1"/>
  <c r="C109" i="1"/>
  <c r="C61" i="1" s="1"/>
  <c r="F10" i="2" s="1"/>
  <c r="D112" i="1"/>
  <c r="D64" i="1" s="1"/>
  <c r="G13" i="2" s="1"/>
  <c r="U120" i="1"/>
  <c r="U72" i="1" s="1"/>
  <c r="X21" i="2" s="1"/>
  <c r="L110" i="1"/>
  <c r="L62" i="1" s="1"/>
  <c r="O11" i="2" s="1"/>
  <c r="K123" i="1"/>
  <c r="K75" i="1" s="1"/>
  <c r="N24" i="2" s="1"/>
  <c r="G110" i="1"/>
  <c r="G62" i="1" s="1"/>
  <c r="J11" i="2" s="1"/>
  <c r="S119" i="1"/>
  <c r="S71" i="1" s="1"/>
  <c r="V20" i="2" s="1"/>
  <c r="J117" i="1"/>
  <c r="J69" i="1" s="1"/>
  <c r="M18" i="2" s="1"/>
  <c r="V114" i="1"/>
  <c r="V66" i="1" s="1"/>
  <c r="Y15" i="2" s="1"/>
  <c r="Q113" i="1"/>
  <c r="Q65" i="1" s="1"/>
  <c r="T14" i="2" s="1"/>
  <c r="I107" i="1"/>
  <c r="I59" i="1" s="1"/>
  <c r="L8" i="2" s="1"/>
  <c r="D113" i="1"/>
  <c r="D65" i="1" s="1"/>
  <c r="G14" i="2" s="1"/>
  <c r="U118" i="1"/>
  <c r="U70" i="1" s="1"/>
  <c r="X19" i="2" s="1"/>
  <c r="D115" i="1"/>
  <c r="D67" i="1" s="1"/>
  <c r="G16" i="2" s="1"/>
  <c r="V112" i="1"/>
  <c r="V64" i="1" s="1"/>
  <c r="Y13" i="2" s="1"/>
  <c r="U109" i="1"/>
  <c r="U61" i="1" s="1"/>
  <c r="X10" i="2" s="1"/>
  <c r="M122" i="1"/>
  <c r="M74" i="1" s="1"/>
  <c r="P23" i="2" s="1"/>
  <c r="J123" i="1"/>
  <c r="J75" i="1" s="1"/>
  <c r="M24" i="2" s="1"/>
  <c r="D110" i="1"/>
  <c r="D62" i="1" s="1"/>
  <c r="G11" i="2" s="1"/>
  <c r="C112" i="1"/>
  <c r="C64" i="1" s="1"/>
  <c r="F13" i="2" s="1"/>
  <c r="M109" i="1"/>
  <c r="M61" i="1" s="1"/>
  <c r="P10" i="2" s="1"/>
  <c r="V106" i="1"/>
  <c r="V58" i="1" s="1"/>
  <c r="Y7" i="2" s="1"/>
  <c r="L117" i="1"/>
  <c r="L69" i="1" s="1"/>
  <c r="O18" i="2" s="1"/>
  <c r="H107" i="1"/>
  <c r="H59" i="1" s="1"/>
  <c r="K8" i="2" s="1"/>
  <c r="N114" i="1"/>
  <c r="N66" i="1" s="1"/>
  <c r="Q15" i="2" s="1"/>
  <c r="L116" i="1"/>
  <c r="L68" i="1" s="1"/>
  <c r="O17" i="2" s="1"/>
  <c r="M115" i="1"/>
  <c r="M67" i="1" s="1"/>
  <c r="P16" i="2" s="1"/>
  <c r="H112" i="1"/>
  <c r="H64" i="1" s="1"/>
  <c r="K13" i="2" s="1"/>
  <c r="P109" i="1"/>
  <c r="P61" i="1" s="1"/>
  <c r="S10" i="2" s="1"/>
  <c r="D108" i="1"/>
  <c r="D60" i="1" s="1"/>
  <c r="G9" i="2" s="1"/>
  <c r="N120" i="1"/>
  <c r="N72" i="1" s="1"/>
  <c r="Q21" i="2" s="1"/>
  <c r="V111" i="1"/>
  <c r="V63" i="1" s="1"/>
  <c r="Y12" i="2" s="1"/>
  <c r="H123" i="1"/>
  <c r="H75" i="1" s="1"/>
  <c r="K24" i="2" s="1"/>
  <c r="L112" i="1"/>
  <c r="L64" i="1" s="1"/>
  <c r="O13" i="2" s="1"/>
  <c r="C110" i="1"/>
  <c r="C62" i="1" s="1"/>
  <c r="F11" i="2" s="1"/>
  <c r="H109" i="1"/>
  <c r="H61" i="1" s="1"/>
  <c r="K10" i="2" s="1"/>
  <c r="L104" i="1"/>
  <c r="L56" i="1" s="1"/>
  <c r="O5" i="2" s="1"/>
  <c r="D117" i="1"/>
  <c r="D69" i="1" s="1"/>
  <c r="G18" i="2" s="1"/>
  <c r="L105" i="1"/>
  <c r="L57" i="1" s="1"/>
  <c r="O6" i="2" s="1"/>
  <c r="M113" i="1"/>
  <c r="M65" i="1" s="1"/>
  <c r="P14" i="2" s="1"/>
  <c r="D118" i="1"/>
  <c r="D70" i="1" s="1"/>
  <c r="G19" i="2" s="1"/>
  <c r="E118" i="1"/>
  <c r="E70" i="1" s="1"/>
  <c r="H19" i="2" s="1"/>
  <c r="S117" i="1"/>
  <c r="S69" i="1" s="1"/>
  <c r="V18" i="2" s="1"/>
  <c r="J111" i="1"/>
  <c r="J63" i="1" s="1"/>
  <c r="M12" i="2" s="1"/>
  <c r="R108" i="1"/>
  <c r="R60" i="1" s="1"/>
  <c r="U9" i="2" s="1"/>
  <c r="P110" i="1"/>
  <c r="P62" i="1" s="1"/>
  <c r="S11" i="2" s="1"/>
  <c r="I111" i="1"/>
  <c r="I63" i="1" s="1"/>
  <c r="L12" i="2" s="1"/>
  <c r="V123" i="1"/>
  <c r="V75" i="1" s="1"/>
  <c r="Y24" i="2" s="1"/>
  <c r="H110" i="1"/>
  <c r="H62" i="1" s="1"/>
  <c r="K11" i="2" s="1"/>
  <c r="O111" i="1"/>
  <c r="O63" i="1" s="1"/>
  <c r="R12" i="2" s="1"/>
  <c r="M119" i="1"/>
  <c r="M71" i="1" s="1"/>
  <c r="P20" i="2" s="1"/>
  <c r="E106" i="1"/>
  <c r="E58" i="1" s="1"/>
  <c r="H7" i="2" s="1"/>
  <c r="Q117" i="1"/>
  <c r="Q69" i="1" s="1"/>
  <c r="T18" i="2" s="1"/>
  <c r="I104" i="1"/>
  <c r="I56" i="1" s="1"/>
  <c r="L5" i="2" s="1"/>
  <c r="D119" i="1"/>
  <c r="D71" i="1" s="1"/>
  <c r="G20" i="2" s="1"/>
  <c r="O104" i="1"/>
  <c r="O56" i="1" s="1"/>
  <c r="R5" i="2" s="1"/>
  <c r="Q115" i="1"/>
  <c r="Q67" i="1" s="1"/>
  <c r="T16" i="2" s="1"/>
  <c r="Q109" i="1"/>
  <c r="Q61" i="1" s="1"/>
  <c r="T10" i="2" s="1"/>
  <c r="F110" i="1"/>
  <c r="F62" i="1" s="1"/>
  <c r="I11" i="2" s="1"/>
  <c r="V108" i="1"/>
  <c r="V60" i="1" s="1"/>
  <c r="Y9" i="2" s="1"/>
  <c r="S107" i="1"/>
  <c r="S59" i="1" s="1"/>
  <c r="V8" i="2" s="1"/>
  <c r="N111" i="1"/>
  <c r="N63" i="1" s="1"/>
  <c r="Q12" i="2" s="1"/>
  <c r="E110" i="1"/>
  <c r="E62" i="1" s="1"/>
  <c r="H11" i="2" s="1"/>
  <c r="E109" i="1"/>
  <c r="E61" i="1" s="1"/>
  <c r="H10" i="2" s="1"/>
  <c r="P121" i="1"/>
  <c r="P73" i="1" s="1"/>
  <c r="S22" i="2" s="1"/>
  <c r="K104" i="1"/>
  <c r="K56" i="1" s="1"/>
  <c r="N5" i="2" s="1"/>
  <c r="O119" i="1"/>
  <c r="O71" i="1" s="1"/>
  <c r="R20" i="2" s="1"/>
  <c r="K114" i="1"/>
  <c r="K66" i="1" s="1"/>
  <c r="N15" i="2" s="1"/>
  <c r="I106" i="1"/>
  <c r="I58" i="1" s="1"/>
  <c r="L7" i="2" s="1"/>
  <c r="P104" i="1"/>
  <c r="P56" i="1" s="1"/>
  <c r="S5" i="2" s="1"/>
  <c r="L114" i="1"/>
  <c r="L66" i="1" s="1"/>
  <c r="O15" i="2" s="1"/>
  <c r="K111" i="1"/>
  <c r="K63" i="1" s="1"/>
  <c r="N12" i="2" s="1"/>
  <c r="S110" i="1"/>
  <c r="S62" i="1" s="1"/>
  <c r="V11" i="2" s="1"/>
  <c r="G118" i="1"/>
  <c r="G70" i="1" s="1"/>
  <c r="J19" i="2" s="1"/>
  <c r="F107" i="1"/>
  <c r="F59" i="1" s="1"/>
  <c r="I8" i="2" s="1"/>
  <c r="K117" i="1"/>
  <c r="K69" i="1" s="1"/>
  <c r="N18" i="2" s="1"/>
  <c r="E112" i="1"/>
  <c r="E64" i="1" s="1"/>
  <c r="H13" i="2" s="1"/>
  <c r="S111" i="1"/>
  <c r="S63" i="1" s="1"/>
  <c r="V12" i="2" s="1"/>
  <c r="N121" i="1"/>
  <c r="N73" i="1" s="1"/>
  <c r="Q22" i="2" s="1"/>
  <c r="S120" i="1"/>
  <c r="S72" i="1" s="1"/>
  <c r="V21" i="2" s="1"/>
  <c r="C119" i="1"/>
  <c r="C71" i="1" s="1"/>
  <c r="F20" i="2" s="1"/>
  <c r="D114" i="1"/>
  <c r="D66" i="1" s="1"/>
  <c r="G15" i="2" s="1"/>
  <c r="P117" i="1"/>
  <c r="P69" i="1" s="1"/>
  <c r="S18" i="2" s="1"/>
  <c r="G104" i="1"/>
  <c r="G56" i="1" s="1"/>
  <c r="J5" i="2" s="1"/>
  <c r="S114" i="1"/>
  <c r="S66" i="1" s="1"/>
  <c r="V15" i="2" s="1"/>
  <c r="K113" i="1"/>
  <c r="K65" i="1" s="1"/>
  <c r="N14" i="2" s="1"/>
  <c r="O117" i="1"/>
  <c r="O69" i="1" s="1"/>
  <c r="R18" i="2" s="1"/>
  <c r="G108" i="1"/>
  <c r="G60" i="1" s="1"/>
  <c r="J9" i="2" s="1"/>
  <c r="P106" i="1"/>
  <c r="P58" i="1" s="1"/>
  <c r="S7" i="2" s="1"/>
  <c r="C111" i="1"/>
  <c r="C63" i="1" s="1"/>
  <c r="F12" i="2" s="1"/>
  <c r="P122" i="1"/>
  <c r="P74" i="1" s="1"/>
  <c r="S23" i="2" s="1"/>
  <c r="P108" i="1"/>
  <c r="P60" i="1" s="1"/>
  <c r="S9" i="2" s="1"/>
  <c r="R111" i="1"/>
  <c r="R63" i="1" s="1"/>
  <c r="U12" i="2" s="1"/>
  <c r="L121" i="1"/>
  <c r="L73" i="1" s="1"/>
  <c r="O22" i="2" s="1"/>
  <c r="L118" i="1"/>
  <c r="L70" i="1" s="1"/>
  <c r="O19" i="2" s="1"/>
  <c r="H117" i="1"/>
  <c r="H69" i="1" s="1"/>
  <c r="K18" i="2" s="1"/>
  <c r="Q114" i="1"/>
  <c r="Q66" i="1" s="1"/>
  <c r="T15" i="2" s="1"/>
  <c r="J114" i="1"/>
  <c r="J66" i="1" s="1"/>
  <c r="M15" i="2" s="1"/>
  <c r="T104" i="1"/>
  <c r="T56" i="1" s="1"/>
  <c r="W5" i="2" s="1"/>
  <c r="T121" i="1"/>
  <c r="T73" i="1" s="1"/>
  <c r="W22" i="2" s="1"/>
  <c r="T111" i="1"/>
  <c r="T63" i="1" s="1"/>
  <c r="W12" i="2" s="1"/>
  <c r="T28" i="1"/>
  <c r="T119" i="1"/>
  <c r="T71" i="1" s="1"/>
  <c r="W20" i="2" s="1"/>
  <c r="T110" i="1"/>
  <c r="T62" i="1" s="1"/>
  <c r="W11" i="2" s="1"/>
  <c r="T123" i="1"/>
  <c r="T75" i="1" s="1"/>
  <c r="W24" i="2" s="1"/>
  <c r="T105" i="1"/>
  <c r="T57" i="1" s="1"/>
  <c r="W6" i="2" s="1"/>
  <c r="T117" i="1"/>
  <c r="T69" i="1" s="1"/>
  <c r="W18" i="2" s="1"/>
  <c r="T114" i="1"/>
  <c r="T66" i="1" s="1"/>
  <c r="W15" i="2" s="1"/>
  <c r="T118" i="1"/>
  <c r="T70" i="1" s="1"/>
  <c r="W19" i="2" s="1"/>
  <c r="T22" i="1"/>
  <c r="T19" i="1"/>
  <c r="T106" i="1"/>
  <c r="T58" i="1" s="1"/>
  <c r="W7" i="2" s="1"/>
  <c r="T112" i="1"/>
  <c r="T64" i="1" s="1"/>
  <c r="W13" i="2" s="1"/>
  <c r="T109" i="1"/>
  <c r="T61" i="1" s="1"/>
  <c r="W10" i="2" s="1"/>
  <c r="T108" i="1"/>
  <c r="T60" i="1" s="1"/>
  <c r="W9" i="2" s="1"/>
  <c r="T25" i="1"/>
  <c r="T27" i="1"/>
  <c r="T116" i="1"/>
  <c r="T68" i="1" s="1"/>
  <c r="W17" i="2" s="1"/>
  <c r="T115" i="1"/>
  <c r="T67" i="1" s="1"/>
  <c r="W16" i="2" s="1"/>
  <c r="I115" i="1"/>
  <c r="I67" i="1" s="1"/>
  <c r="L16" i="2" s="1"/>
  <c r="N106" i="1"/>
  <c r="N58" i="1" s="1"/>
  <c r="Q7" i="2" s="1"/>
  <c r="J118" i="1"/>
  <c r="J70" i="1" s="1"/>
  <c r="M19" i="2" s="1"/>
  <c r="L122" i="1"/>
  <c r="L74" i="1" s="1"/>
  <c r="O23" i="2" s="1"/>
  <c r="N116" i="1"/>
  <c r="N68" i="1" s="1"/>
  <c r="Q17" i="2" s="1"/>
  <c r="M106" i="1"/>
  <c r="M58" i="1" s="1"/>
  <c r="P7" i="2" s="1"/>
  <c r="O120" i="1"/>
  <c r="O72" i="1" s="1"/>
  <c r="R21" i="2" s="1"/>
  <c r="T120" i="1"/>
  <c r="T72" i="1" s="1"/>
  <c r="W21" i="2" s="1"/>
  <c r="T18" i="1"/>
  <c r="J106" i="1"/>
  <c r="J58" i="1" s="1"/>
  <c r="M7" i="2" s="1"/>
  <c r="L109" i="1"/>
  <c r="L61" i="1" s="1"/>
  <c r="O10" i="2" s="1"/>
  <c r="K116" i="1"/>
  <c r="K68" i="1" s="1"/>
  <c r="N17" i="2" s="1"/>
  <c r="M104" i="1"/>
  <c r="M56" i="1" s="1"/>
  <c r="P5" i="2" s="1"/>
  <c r="I123" i="1"/>
  <c r="I75" i="1" s="1"/>
  <c r="L24" i="2" s="1"/>
  <c r="O109" i="1"/>
  <c r="O61" i="1" s="1"/>
  <c r="R10" i="2" s="1"/>
  <c r="I116" i="1"/>
  <c r="I68" i="1" s="1"/>
  <c r="L17" i="2" s="1"/>
  <c r="H105" i="1"/>
  <c r="H57" i="1" s="1"/>
  <c r="K6" i="2" s="1"/>
  <c r="R113" i="1"/>
  <c r="R65" i="1" s="1"/>
  <c r="U14" i="2" s="1"/>
  <c r="Q105" i="1"/>
  <c r="Q57" i="1" s="1"/>
  <c r="T6" i="2" s="1"/>
  <c r="P119" i="1"/>
  <c r="P71" i="1" s="1"/>
  <c r="S20" i="2" s="1"/>
  <c r="G113" i="1"/>
  <c r="G65" i="1" s="1"/>
  <c r="J14" i="2" s="1"/>
  <c r="V120" i="1"/>
  <c r="V72" i="1" s="1"/>
  <c r="Y21" i="2" s="1"/>
  <c r="C108" i="1"/>
  <c r="C60" i="1" s="1"/>
  <c r="F9" i="2" s="1"/>
  <c r="D107" i="1"/>
  <c r="D59" i="1" s="1"/>
  <c r="G8" i="2" s="1"/>
  <c r="Q111" i="1"/>
  <c r="Q63" i="1" s="1"/>
  <c r="T12" i="2" s="1"/>
  <c r="Q122" i="1"/>
  <c r="Q74" i="1" s="1"/>
  <c r="T23" i="2" s="1"/>
  <c r="K122" i="1"/>
  <c r="K74" i="1" s="1"/>
  <c r="N23" i="2" s="1"/>
  <c r="D123" i="1"/>
  <c r="D75" i="1" s="1"/>
  <c r="G24" i="2" s="1"/>
  <c r="D20" i="1"/>
  <c r="M28" i="1"/>
  <c r="M20" i="1"/>
  <c r="M19" i="1"/>
  <c r="M114" i="1"/>
  <c r="M66" i="1" s="1"/>
  <c r="P15" i="2" s="1"/>
  <c r="M123" i="1"/>
  <c r="M75" i="1" s="1"/>
  <c r="P24" i="2" s="1"/>
  <c r="M120" i="1"/>
  <c r="M72" i="1" s="1"/>
  <c r="P21" i="2" s="1"/>
  <c r="U110" i="1"/>
  <c r="U62" i="1" s="1"/>
  <c r="X11" i="2" s="1"/>
  <c r="U116" i="1"/>
  <c r="U68" i="1" s="1"/>
  <c r="X17" i="2" s="1"/>
  <c r="U18" i="1"/>
  <c r="U119" i="1"/>
  <c r="U71" i="1" s="1"/>
  <c r="X20" i="2" s="1"/>
  <c r="U106" i="1"/>
  <c r="U58" i="1" s="1"/>
  <c r="X7" i="2" s="1"/>
  <c r="U121" i="1"/>
  <c r="U73" i="1" s="1"/>
  <c r="X22" i="2" s="1"/>
  <c r="U117" i="1"/>
  <c r="U69" i="1" s="1"/>
  <c r="X18" i="2" s="1"/>
  <c r="U115" i="1"/>
  <c r="U67" i="1" s="1"/>
  <c r="X16" i="2" s="1"/>
  <c r="U122" i="1"/>
  <c r="U74" i="1" s="1"/>
  <c r="X23" i="2" s="1"/>
  <c r="U27" i="1"/>
  <c r="J115" i="1"/>
  <c r="J67" i="1" s="1"/>
  <c r="M16" i="2" s="1"/>
  <c r="J109" i="1"/>
  <c r="J61" i="1" s="1"/>
  <c r="M10" i="2" s="1"/>
  <c r="J108" i="1"/>
  <c r="J60" i="1" s="1"/>
  <c r="M9" i="2" s="1"/>
  <c r="J105" i="1"/>
  <c r="J57" i="1" s="1"/>
  <c r="M6" i="2" s="1"/>
  <c r="J107" i="1"/>
  <c r="J59" i="1" s="1"/>
  <c r="M8" i="2" s="1"/>
  <c r="J25" i="1"/>
  <c r="L119" i="1"/>
  <c r="L71" i="1" s="1"/>
  <c r="O20" i="2" s="1"/>
  <c r="F118" i="1"/>
  <c r="F70" i="1" s="1"/>
  <c r="I19" i="2" s="1"/>
  <c r="F108" i="1"/>
  <c r="F60" i="1" s="1"/>
  <c r="I9" i="2" s="1"/>
  <c r="Q108" i="1"/>
  <c r="Q60" i="1" s="1"/>
  <c r="T9" i="2" s="1"/>
  <c r="L111" i="1"/>
  <c r="L63" i="1" s="1"/>
  <c r="O12" i="2" s="1"/>
  <c r="S121" i="1"/>
  <c r="S73" i="1" s="1"/>
  <c r="V22" i="2" s="1"/>
  <c r="Q107" i="1"/>
  <c r="Q59" i="1" s="1"/>
  <c r="T8" i="2" s="1"/>
  <c r="C115" i="1"/>
  <c r="C67" i="1" s="1"/>
  <c r="F16" i="2" s="1"/>
  <c r="H104" i="1"/>
  <c r="H56" i="1" s="1"/>
  <c r="K5" i="2" s="1"/>
  <c r="O106" i="1"/>
  <c r="O58" i="1" s="1"/>
  <c r="R7" i="2" s="1"/>
  <c r="F113" i="1"/>
  <c r="F65" i="1" s="1"/>
  <c r="I14" i="2" s="1"/>
  <c r="C105" i="1"/>
  <c r="C57" i="1" s="1"/>
  <c r="F6" i="2" s="1"/>
  <c r="V117" i="1"/>
  <c r="V69" i="1" s="1"/>
  <c r="Y18" i="2" s="1"/>
  <c r="G115" i="1"/>
  <c r="G67" i="1" s="1"/>
  <c r="J16" i="2" s="1"/>
  <c r="D120" i="1"/>
  <c r="D72" i="1" s="1"/>
  <c r="G21" i="2" s="1"/>
  <c r="K108" i="1"/>
  <c r="K60" i="1" s="1"/>
  <c r="N9" i="2" s="1"/>
  <c r="E107" i="1"/>
  <c r="E59" i="1" s="1"/>
  <c r="H8" i="2" s="1"/>
  <c r="U111" i="1"/>
  <c r="U63" i="1" s="1"/>
  <c r="X12" i="2" s="1"/>
  <c r="E114" i="1"/>
  <c r="E66" i="1" s="1"/>
  <c r="H15" i="2" s="1"/>
  <c r="R122" i="1"/>
  <c r="R74" i="1" s="1"/>
  <c r="U23" i="2" s="1"/>
  <c r="Q123" i="1"/>
  <c r="Q75" i="1" s="1"/>
  <c r="T24" i="2" s="1"/>
  <c r="D9" i="1"/>
  <c r="C123" i="1"/>
  <c r="C75" i="1" s="1"/>
  <c r="F24" i="2" s="1"/>
  <c r="F123" i="1"/>
  <c r="F75" i="1" s="1"/>
  <c r="I24" i="2" s="1"/>
  <c r="G111" i="1"/>
  <c r="G63" i="1" s="1"/>
  <c r="J12" i="2" s="1"/>
  <c r="D122" i="1"/>
  <c r="D74" i="1" s="1"/>
  <c r="G23" i="2" s="1"/>
  <c r="S122" i="1"/>
  <c r="S74" i="1" s="1"/>
  <c r="V23" i="2" s="1"/>
  <c r="R112" i="1"/>
  <c r="R64" i="1" s="1"/>
  <c r="U13" i="2" s="1"/>
  <c r="K109" i="1"/>
  <c r="K61" i="1" s="1"/>
  <c r="N10" i="2" s="1"/>
  <c r="E121" i="1"/>
  <c r="E73" i="1" s="1"/>
  <c r="H22" i="2" s="1"/>
  <c r="F116" i="1"/>
  <c r="F68" i="1" s="1"/>
  <c r="I17" i="2" s="1"/>
  <c r="P113" i="1"/>
  <c r="P65" i="1" s="1"/>
  <c r="S14" i="2" s="1"/>
  <c r="C117" i="1"/>
  <c r="C69" i="1" s="1"/>
  <c r="F18" i="2" s="1"/>
  <c r="R105" i="1"/>
  <c r="R57" i="1" s="1"/>
  <c r="U6" i="2" s="1"/>
  <c r="K107" i="1"/>
  <c r="K59" i="1" s="1"/>
  <c r="N8" i="2" s="1"/>
  <c r="O114" i="1"/>
  <c r="O66" i="1" s="1"/>
  <c r="R15" i="2" s="1"/>
  <c r="E113" i="1"/>
  <c r="E65" i="1" s="1"/>
  <c r="H14" i="2" s="1"/>
  <c r="G105" i="1"/>
  <c r="G57" i="1" s="1"/>
  <c r="J6" i="2" s="1"/>
  <c r="E117" i="1"/>
  <c r="E69" i="1" s="1"/>
  <c r="H18" i="2" s="1"/>
  <c r="H119" i="1"/>
  <c r="H71" i="1" s="1"/>
  <c r="K20" i="2" s="1"/>
  <c r="R107" i="1"/>
  <c r="R59" i="1" s="1"/>
  <c r="U8" i="2" s="1"/>
  <c r="R115" i="1"/>
  <c r="R67" i="1" s="1"/>
  <c r="U16" i="2" s="1"/>
  <c r="P107" i="1"/>
  <c r="P59" i="1" s="1"/>
  <c r="S8" i="2" s="1"/>
  <c r="S109" i="1"/>
  <c r="S61" i="1" s="1"/>
  <c r="V10" i="2" s="1"/>
  <c r="F106" i="1"/>
  <c r="F58" i="1" s="1"/>
  <c r="I7" i="2" s="1"/>
  <c r="E119" i="1"/>
  <c r="E71" i="1" s="1"/>
  <c r="H20" i="2" s="1"/>
  <c r="I122" i="1"/>
  <c r="I74" i="1" s="1"/>
  <c r="L23" i="2" s="1"/>
  <c r="K118" i="1"/>
  <c r="K70" i="1" s="1"/>
  <c r="N19" i="2" s="1"/>
  <c r="H111" i="1"/>
  <c r="H63" i="1" s="1"/>
  <c r="K12" i="2" s="1"/>
  <c r="S123" i="1"/>
  <c r="S75" i="1" s="1"/>
  <c r="V24" i="2" s="1"/>
  <c r="R120" i="1"/>
  <c r="R72" i="1" s="1"/>
  <c r="U21" i="2" s="1"/>
  <c r="D121" i="1"/>
  <c r="D73" i="1" s="1"/>
  <c r="G22" i="2" s="1"/>
  <c r="I120" i="1"/>
  <c r="I72" i="1" s="1"/>
  <c r="L21" i="2" s="1"/>
  <c r="C113" i="1"/>
  <c r="C65" i="1" s="1"/>
  <c r="F14" i="2" s="1"/>
  <c r="F117" i="1"/>
  <c r="F69" i="1" s="1"/>
  <c r="I18" i="2" s="1"/>
  <c r="I117" i="1"/>
  <c r="I69" i="1" s="1"/>
  <c r="L18" i="2" s="1"/>
  <c r="P114" i="1"/>
  <c r="P66" i="1" s="1"/>
  <c r="S15" i="2" s="1"/>
  <c r="E116" i="1"/>
  <c r="E68" i="1" s="1"/>
  <c r="H17" i="2" s="1"/>
  <c r="C106" i="1"/>
  <c r="C58" i="1" s="1"/>
  <c r="F7" i="2" s="1"/>
  <c r="D105" i="1"/>
  <c r="D57" i="1" s="1"/>
  <c r="G6" i="2" s="1"/>
  <c r="V122" i="1"/>
  <c r="V74" i="1" s="1"/>
  <c r="Y23" i="2" s="1"/>
  <c r="G123" i="1"/>
  <c r="G75" i="1" s="1"/>
  <c r="J24" i="2" s="1"/>
  <c r="K106" i="1"/>
  <c r="K58" i="1" s="1"/>
  <c r="N7" i="2" s="1"/>
  <c r="P120" i="1"/>
  <c r="P72" i="1" s="1"/>
  <c r="S21" i="2" s="1"/>
  <c r="I110" i="1"/>
  <c r="I62" i="1" s="1"/>
  <c r="L11" i="2" s="1"/>
  <c r="G114" i="1"/>
  <c r="G66" i="1" s="1"/>
  <c r="J15" i="2" s="1"/>
  <c r="K119" i="1"/>
  <c r="K71" i="1" s="1"/>
  <c r="N20" i="2" s="1"/>
  <c r="F120" i="1"/>
  <c r="F72" i="1" s="1"/>
  <c r="I21" i="2" s="1"/>
  <c r="V105" i="1"/>
  <c r="V57" i="1" s="1"/>
  <c r="Y6" i="2" s="1"/>
  <c r="R114" i="1"/>
  <c r="R66" i="1" s="1"/>
  <c r="U15" i="2" s="1"/>
  <c r="S116" i="1"/>
  <c r="S68" i="1" s="1"/>
  <c r="V17" i="2" s="1"/>
  <c r="R116" i="1"/>
  <c r="R68" i="1" s="1"/>
  <c r="U17" i="2" s="1"/>
  <c r="S104" i="1"/>
  <c r="S56" i="1" s="1"/>
  <c r="V5" i="2" s="1"/>
  <c r="L113" i="1"/>
  <c r="L65" i="1" s="1"/>
  <c r="O14" i="2" s="1"/>
  <c r="G109" i="1"/>
  <c r="G61" i="1" s="1"/>
  <c r="J10" i="2" s="1"/>
  <c r="S106" i="1"/>
  <c r="S58" i="1" s="1"/>
  <c r="V7" i="2" s="1"/>
  <c r="R119" i="1"/>
  <c r="R71" i="1" s="1"/>
  <c r="U20" i="2" s="1"/>
  <c r="E111" i="1"/>
  <c r="E63" i="1" s="1"/>
  <c r="H12" i="2" s="1"/>
  <c r="O110" i="1"/>
  <c r="O62" i="1" s="1"/>
  <c r="R11" i="2" s="1"/>
  <c r="O112" i="1"/>
  <c r="O64" i="1" s="1"/>
  <c r="R13" i="2" s="1"/>
  <c r="C114" i="1"/>
  <c r="C66" i="1" s="1"/>
  <c r="F15" i="2" s="1"/>
  <c r="I105" i="1"/>
  <c r="I57" i="1" s="1"/>
  <c r="L6" i="2" s="1"/>
  <c r="F119" i="1"/>
  <c r="F71" i="1" s="1"/>
  <c r="I20" i="2" s="1"/>
  <c r="D104" i="1"/>
  <c r="D56" i="1" s="1"/>
  <c r="G5" i="2" s="1"/>
  <c r="V116" i="1"/>
  <c r="V68" i="1" s="1"/>
  <c r="Y17" i="2" s="1"/>
  <c r="V109" i="1"/>
  <c r="V61" i="1" s="1"/>
  <c r="Y10" i="2" s="1"/>
  <c r="G106" i="1"/>
  <c r="G58" i="1" s="1"/>
  <c r="J7" i="2" s="1"/>
  <c r="I108" i="1"/>
  <c r="I60" i="1" s="1"/>
  <c r="L9" i="2" s="1"/>
  <c r="D116" i="1"/>
  <c r="D68" i="1" s="1"/>
  <c r="G17" i="2" s="1"/>
  <c r="H115" i="1"/>
  <c r="H67" i="1" s="1"/>
  <c r="K16" i="2" s="1"/>
  <c r="H118" i="1"/>
  <c r="H70" i="1" s="1"/>
  <c r="K19" i="2" s="1"/>
  <c r="P118" i="1"/>
  <c r="P70" i="1" s="1"/>
  <c r="S19" i="2" s="1"/>
  <c r="S105" i="1"/>
  <c r="S57" i="1" s="1"/>
  <c r="V6" i="2" s="1"/>
  <c r="C121" i="1"/>
  <c r="C73" i="1" s="1"/>
  <c r="F22" i="2" s="1"/>
  <c r="Q104" i="1"/>
  <c r="Q56" i="1" s="1"/>
  <c r="T5" i="2" s="1"/>
  <c r="L120" i="1"/>
  <c r="L72" i="1" s="1"/>
  <c r="O21" i="2" s="1"/>
  <c r="M111" i="1"/>
  <c r="M63" i="1" s="1"/>
  <c r="P12" i="2" s="1"/>
  <c r="S118" i="1"/>
  <c r="S70" i="1" s="1"/>
  <c r="V19" i="2" s="1"/>
  <c r="U108" i="1"/>
  <c r="U60" i="1" s="1"/>
  <c r="X9" i="2" s="1"/>
  <c r="E108" i="1"/>
  <c r="E60" i="1" s="1"/>
  <c r="H9" i="2" s="1"/>
  <c r="R109" i="1"/>
  <c r="R61" i="1" s="1"/>
  <c r="U10" i="2" s="1"/>
  <c r="F121" i="1"/>
  <c r="F73" i="1" s="1"/>
  <c r="I22" i="2" s="1"/>
  <c r="K112" i="1"/>
  <c r="K64" i="1" s="1"/>
  <c r="N13" i="2" s="1"/>
  <c r="K105" i="1"/>
  <c r="K57" i="1" s="1"/>
  <c r="N6" i="2" s="1"/>
  <c r="K115" i="1"/>
  <c r="K67" i="1" s="1"/>
  <c r="N16" i="2" s="1"/>
  <c r="F104" i="1"/>
  <c r="F56" i="1" s="1"/>
  <c r="I5" i="2" s="1"/>
  <c r="J119" i="1"/>
  <c r="J71" i="1" s="1"/>
  <c r="M20" i="2" s="1"/>
  <c r="Q116" i="1"/>
  <c r="Q68" i="1" s="1"/>
  <c r="T17" i="2" s="1"/>
  <c r="G119" i="1"/>
  <c r="G71" i="1" s="1"/>
  <c r="J20" i="2" s="1"/>
  <c r="P105" i="1"/>
  <c r="P57" i="1" s="1"/>
  <c r="S6" i="2" s="1"/>
  <c r="G117" i="1"/>
  <c r="G69" i="1" s="1"/>
  <c r="J18" i="2" s="1"/>
  <c r="O113" i="1"/>
  <c r="O65" i="1" s="1"/>
  <c r="R14" i="2" s="1"/>
  <c r="G120" i="1"/>
  <c r="G72" i="1" s="1"/>
  <c r="J21" i="2" s="1"/>
  <c r="L108" i="1"/>
  <c r="L60" i="1" s="1"/>
  <c r="O9" i="2" s="1"/>
  <c r="F114" i="1"/>
  <c r="F66" i="1" s="1"/>
  <c r="I15" i="2" s="1"/>
  <c r="F109" i="1"/>
  <c r="F61" i="1" s="1"/>
  <c r="I10" i="2" s="1"/>
  <c r="C118" i="1"/>
  <c r="C70" i="1" s="1"/>
  <c r="F19" i="2" s="1"/>
  <c r="C122" i="1"/>
  <c r="C74" i="1" s="1"/>
  <c r="F23" i="2" s="1"/>
  <c r="O122" i="1"/>
  <c r="O74" i="1" s="1"/>
  <c r="R23" i="2" s="1"/>
  <c r="E123" i="1"/>
  <c r="E75" i="1" s="1"/>
  <c r="H24" i="2" s="1"/>
  <c r="O116" i="1"/>
  <c r="O68" i="1" s="1"/>
  <c r="R17" i="2" s="1"/>
  <c r="Q106" i="1"/>
  <c r="Q58" i="1" s="1"/>
  <c r="T7" i="2" s="1"/>
  <c r="Q110" i="1"/>
  <c r="Q62" i="1" s="1"/>
  <c r="T11" i="2" s="1"/>
  <c r="Q112" i="1"/>
  <c r="Q64" i="1" s="1"/>
  <c r="T13" i="2" s="1"/>
  <c r="Q4" i="2"/>
  <c r="Q28" i="2" s="1"/>
  <c r="N25" i="1"/>
  <c r="N27" i="1"/>
  <c r="N24" i="1"/>
  <c r="N15" i="1"/>
  <c r="N14" i="1"/>
  <c r="N10" i="1"/>
  <c r="N9" i="1"/>
  <c r="N13" i="1"/>
  <c r="N11" i="1"/>
  <c r="X4" i="2"/>
  <c r="X28" i="2" s="1"/>
  <c r="U25" i="1"/>
  <c r="U21" i="1"/>
  <c r="U9" i="1"/>
  <c r="U16" i="1"/>
  <c r="U15" i="1"/>
  <c r="U23" i="1"/>
  <c r="U14" i="1"/>
  <c r="U13" i="1"/>
  <c r="U12" i="1"/>
  <c r="U17" i="1"/>
  <c r="N17" i="1"/>
  <c r="D27" i="1"/>
  <c r="D19" i="1"/>
  <c r="G4" i="2"/>
  <c r="G28" i="2" s="1"/>
  <c r="D11" i="1"/>
  <c r="D15" i="1"/>
  <c r="D23" i="1"/>
  <c r="D14" i="1"/>
  <c r="D18" i="1"/>
  <c r="D17" i="1"/>
  <c r="D10" i="1"/>
  <c r="D13" i="1"/>
  <c r="J26" i="1"/>
  <c r="M4" i="2"/>
  <c r="M28" i="2" s="1"/>
  <c r="J14" i="1"/>
  <c r="J12" i="1"/>
  <c r="J28" i="1"/>
  <c r="J24" i="1"/>
  <c r="J18" i="1"/>
  <c r="J16" i="1"/>
  <c r="J15" i="1"/>
  <c r="D16" i="1"/>
  <c r="U24" i="1"/>
  <c r="D12" i="1"/>
  <c r="J10" i="1"/>
  <c r="U22" i="1"/>
  <c r="J22" i="1"/>
  <c r="N20" i="1"/>
  <c r="U28" i="1"/>
  <c r="N12" i="1"/>
  <c r="T14" i="1"/>
  <c r="T23" i="1"/>
  <c r="T21" i="1"/>
  <c r="T10" i="1"/>
  <c r="T26" i="1"/>
  <c r="T20" i="1"/>
  <c r="T16" i="1"/>
  <c r="T17" i="1"/>
  <c r="W4" i="2"/>
  <c r="W28" i="2" s="1"/>
  <c r="T15" i="1"/>
  <c r="T12" i="1"/>
  <c r="T9" i="1"/>
  <c r="Q27" i="1"/>
  <c r="Q21" i="1"/>
  <c r="Q23" i="1"/>
  <c r="Q13" i="1"/>
  <c r="T4" i="2"/>
  <c r="T28" i="2" s="1"/>
  <c r="Q26" i="1"/>
  <c r="Q20" i="1"/>
  <c r="M24" i="1"/>
  <c r="M26" i="1"/>
  <c r="P4" i="2"/>
  <c r="P28" i="2" s="1"/>
  <c r="M16" i="1"/>
  <c r="M12" i="1"/>
  <c r="M21" i="1"/>
  <c r="Q24" i="1"/>
  <c r="M13" i="1"/>
  <c r="Q18" i="1"/>
  <c r="M11" i="1"/>
  <c r="M22" i="1"/>
  <c r="N23" i="1"/>
  <c r="Q19" i="1"/>
  <c r="Q17" i="1"/>
  <c r="M17" i="1"/>
  <c r="N18" i="1"/>
  <c r="Q9" i="1"/>
  <c r="M9" i="1"/>
  <c r="Q10" i="1"/>
  <c r="M23" i="1"/>
  <c r="M15" i="1"/>
  <c r="N26" i="1"/>
  <c r="Q11" i="1"/>
  <c r="Q14" i="1"/>
  <c r="M27" i="1"/>
  <c r="N19" i="1"/>
  <c r="Q28" i="1"/>
  <c r="Q22" i="1"/>
  <c r="AI73" i="1" l="1"/>
  <c r="AN56" i="1"/>
  <c r="AE71" i="1"/>
  <c r="AF62" i="1"/>
  <c r="AE66" i="1"/>
  <c r="AJ69" i="1"/>
  <c r="AR73" i="1"/>
  <c r="AP74" i="1"/>
  <c r="AC73" i="1"/>
  <c r="AF73" i="1"/>
  <c r="AK59" i="1"/>
  <c r="AG72" i="1"/>
  <c r="AE65" i="1"/>
  <c r="AK60" i="1"/>
  <c r="C56" i="1"/>
  <c r="AP59" i="1"/>
  <c r="AA74" i="1"/>
  <c r="AH56" i="1"/>
  <c r="AC56" i="1"/>
  <c r="AC68" i="1"/>
  <c r="AP65" i="1"/>
  <c r="AG63" i="1"/>
  <c r="AR75" i="1"/>
  <c r="AJ75" i="1"/>
  <c r="AK75" i="1"/>
  <c r="AD59" i="1"/>
  <c r="AD72" i="1"/>
  <c r="AJ71" i="1"/>
  <c r="AL75" i="1"/>
  <c r="AN58" i="1"/>
  <c r="AH58" i="1"/>
  <c r="Z65" i="1"/>
  <c r="AE67" i="1"/>
  <c r="AP66" i="1"/>
  <c r="Y61" i="1"/>
  <c r="AE75" i="1"/>
  <c r="AM66" i="1"/>
  <c r="AO62" i="1"/>
  <c r="AD62" i="1"/>
  <c r="AO59" i="1"/>
  <c r="AD61" i="1"/>
  <c r="AK67" i="1"/>
  <c r="AE74" i="1"/>
  <c r="Z69" i="1"/>
  <c r="AI56" i="1"/>
  <c r="AA56" i="1"/>
  <c r="AO60" i="1"/>
  <c r="AO67" i="1"/>
  <c r="AJ60" i="1"/>
  <c r="AR60" i="1"/>
  <c r="AA69" i="1"/>
  <c r="AP73" i="1"/>
  <c r="AB65" i="1"/>
  <c r="AK69" i="1"/>
  <c r="AO66" i="1"/>
  <c r="AN66" i="1"/>
  <c r="AB56" i="1"/>
  <c r="AF64" i="1"/>
  <c r="AB64" i="1"/>
  <c r="A70" i="1"/>
  <c r="A58" i="1"/>
  <c r="AN70" i="1"/>
  <c r="A69" i="1"/>
  <c r="A65" i="1"/>
  <c r="AA68" i="1"/>
  <c r="AQ68" i="1"/>
  <c r="AG56" i="1"/>
  <c r="AA75" i="1"/>
  <c r="D78" i="1"/>
  <c r="AF59" i="1"/>
  <c r="Y74" i="1"/>
  <c r="AJ56" i="1"/>
  <c r="AD69" i="1"/>
  <c r="AK58" i="1"/>
  <c r="AH68" i="1"/>
  <c r="AK70" i="1"/>
  <c r="AE57" i="1"/>
  <c r="AB70" i="1"/>
  <c r="AF57" i="1"/>
  <c r="AN57" i="1"/>
  <c r="E78" i="1"/>
  <c r="AC70" i="1"/>
  <c r="AQ70" i="1"/>
  <c r="AC63" i="1"/>
  <c r="AR62" i="1"/>
  <c r="AD74" i="1"/>
  <c r="Z64" i="1"/>
  <c r="Y75" i="1"/>
  <c r="Z74" i="1"/>
  <c r="AD57" i="1"/>
  <c r="AG62" i="1"/>
  <c r="AO56" i="1"/>
  <c r="AF72" i="1"/>
  <c r="AG59" i="1"/>
  <c r="AC59" i="1"/>
  <c r="AB74" i="1"/>
  <c r="AJ73" i="1"/>
  <c r="AB59" i="1"/>
  <c r="AI58" i="1"/>
  <c r="Y72" i="1"/>
  <c r="AM70" i="1"/>
  <c r="AK72" i="1"/>
  <c r="AN64" i="1"/>
  <c r="AN62" i="1"/>
  <c r="AL73" i="1"/>
  <c r="Y73" i="1"/>
  <c r="AB73" i="1"/>
  <c r="AA71" i="1"/>
  <c r="AH74" i="1"/>
  <c r="AN72" i="1"/>
  <c r="AE64" i="1"/>
  <c r="AM69" i="1"/>
  <c r="AF69" i="1"/>
  <c r="AI69" i="1"/>
  <c r="AC67" i="1"/>
  <c r="AF63" i="1"/>
  <c r="AD63" i="1"/>
  <c r="AG65" i="1"/>
  <c r="AC57" i="1"/>
  <c r="AH57" i="1"/>
  <c r="AQ67" i="1"/>
  <c r="AC69" i="1"/>
  <c r="AO70" i="1"/>
  <c r="Z70" i="1"/>
  <c r="AG70" i="1"/>
  <c r="AF70" i="1"/>
  <c r="G78" i="1"/>
  <c r="AB63" i="1"/>
  <c r="AK65" i="1"/>
  <c r="AM58" i="1"/>
  <c r="AG61" i="1"/>
  <c r="Y59" i="1"/>
  <c r="AQ61" i="1"/>
  <c r="Z61" i="1"/>
  <c r="AA61" i="1"/>
  <c r="AE69" i="1"/>
  <c r="AD71" i="1"/>
  <c r="AE60" i="1"/>
  <c r="AA60" i="1"/>
  <c r="AH65" i="1"/>
  <c r="AL65" i="1"/>
  <c r="AC65" i="1"/>
  <c r="AF65" i="1"/>
  <c r="AJ65" i="1"/>
  <c r="AM64" i="1"/>
  <c r="AD64" i="1"/>
  <c r="AA64" i="1"/>
  <c r="AH62" i="1"/>
  <c r="AQ59" i="1"/>
  <c r="AM59" i="1"/>
  <c r="AN59" i="1"/>
  <c r="AQ75" i="1"/>
  <c r="AN75" i="1"/>
  <c r="AL74" i="1"/>
  <c r="AI74" i="1"/>
  <c r="AG75" i="1"/>
  <c r="AF75" i="1"/>
  <c r="AM74" i="1"/>
  <c r="AQ60" i="1"/>
  <c r="AC58" i="1"/>
  <c r="AB60" i="1"/>
  <c r="AR71" i="1"/>
  <c r="AN71" i="1"/>
  <c r="AH71" i="1"/>
  <c r="A66" i="1"/>
  <c r="Z68" i="1"/>
  <c r="AJ66" i="1"/>
  <c r="AJ68" i="1"/>
  <c r="AI68" i="1"/>
  <c r="A63" i="1"/>
  <c r="AQ66" i="1"/>
  <c r="AM60" i="1"/>
  <c r="AA58" i="1"/>
  <c r="J78" i="1"/>
  <c r="AH60" i="1"/>
  <c r="L78" i="1"/>
  <c r="AP60" i="1"/>
  <c r="K78" i="1"/>
  <c r="A67" i="1"/>
  <c r="P78" i="1"/>
  <c r="A57" i="1"/>
  <c r="AP68" i="1"/>
  <c r="AJ62" i="1"/>
  <c r="A75" i="1"/>
  <c r="AF74" i="1"/>
  <c r="AQ63" i="1"/>
  <c r="AR63" i="1"/>
  <c r="AJ63" i="1"/>
  <c r="A73" i="1"/>
  <c r="Q78" i="1"/>
  <c r="A68" i="1"/>
  <c r="M78" i="1"/>
  <c r="Z67" i="1"/>
  <c r="AG64" i="1"/>
  <c r="AA57" i="1"/>
  <c r="AK61" i="1"/>
  <c r="AM56" i="1"/>
  <c r="AF66" i="1"/>
  <c r="AO68" i="1"/>
  <c r="AK57" i="1"/>
  <c r="AC62" i="1"/>
  <c r="A72" i="1"/>
  <c r="A61" i="1"/>
  <c r="N78" i="1"/>
  <c r="T78" i="1"/>
  <c r="R78" i="1"/>
  <c r="AO71" i="1"/>
  <c r="Y57" i="1"/>
  <c r="AJ67" i="1"/>
  <c r="AE61" i="1"/>
  <c r="AM68" i="1"/>
  <c r="AF71" i="1"/>
  <c r="AP70" i="1"/>
  <c r="Z63" i="1"/>
  <c r="AO69" i="1"/>
  <c r="AH67" i="1"/>
  <c r="AD56" i="1"/>
  <c r="AB71" i="1"/>
  <c r="AC74" i="1"/>
  <c r="AF68" i="1"/>
  <c r="AC72" i="1"/>
  <c r="A62" i="1"/>
  <c r="I78" i="1"/>
  <c r="F78" i="1"/>
  <c r="U78" i="1"/>
  <c r="O78" i="1"/>
  <c r="A71" i="1"/>
  <c r="V78" i="1"/>
  <c r="A74" i="1"/>
  <c r="AJ74" i="1"/>
  <c r="AE70" i="1"/>
  <c r="AP75" i="1"/>
  <c r="AR66" i="1"/>
  <c r="AD67" i="1"/>
  <c r="AQ72" i="1"/>
  <c r="AK68" i="1"/>
  <c r="AE68" i="1"/>
  <c r="AN61" i="1"/>
  <c r="AR72" i="1"/>
  <c r="S64" i="1"/>
  <c r="AH72" i="1"/>
  <c r="Z57" i="1"/>
  <c r="AC64" i="1"/>
  <c r="AP56" i="1"/>
  <c r="AN68" i="1"/>
  <c r="AH63" i="1"/>
  <c r="Y60" i="1"/>
  <c r="Z73" i="1"/>
  <c r="H60" i="1"/>
  <c r="AK74" i="1"/>
  <c r="AQ71" i="1"/>
  <c r="AQ69" i="1"/>
  <c r="AA66" i="1"/>
  <c r="AJ58" i="1"/>
  <c r="AI71" i="1"/>
  <c r="AM71" i="1"/>
  <c r="Y58" i="1"/>
  <c r="AP71" i="1"/>
  <c r="AR69" i="1"/>
  <c r="AO65" i="1"/>
  <c r="Z56" i="1"/>
  <c r="AF56" i="1"/>
  <c r="AQ62" i="1"/>
  <c r="Y67" i="1"/>
  <c r="AB58" i="1"/>
  <c r="Z59" i="1"/>
  <c r="AB61" i="1"/>
  <c r="AB57" i="1"/>
  <c r="AK62" i="1"/>
  <c r="AL69" i="1"/>
  <c r="AG66" i="1"/>
  <c r="AC66" i="1"/>
  <c r="AL59" i="1"/>
  <c r="AR58" i="1"/>
  <c r="AN73" i="1"/>
  <c r="AR70" i="1"/>
  <c r="AP57" i="1"/>
  <c r="AQ65" i="1"/>
  <c r="AI72" i="1"/>
  <c r="AP69" i="1"/>
  <c r="AL71" i="1"/>
  <c r="AQ64" i="1"/>
  <c r="AJ59" i="1"/>
  <c r="AN74" i="1"/>
  <c r="AJ70" i="1"/>
  <c r="Y62" i="1"/>
  <c r="AI57" i="1"/>
  <c r="AH69" i="1"/>
  <c r="Y64" i="1"/>
  <c r="AK71" i="1"/>
  <c r="AB68" i="1"/>
  <c r="Y69" i="1"/>
  <c r="AD58" i="1"/>
  <c r="AP72" i="1"/>
  <c r="AR57" i="1"/>
  <c r="Z60" i="1"/>
  <c r="AG57" i="1"/>
  <c r="AM67" i="1"/>
  <c r="AP64" i="1"/>
  <c r="AG67" i="1"/>
  <c r="AL66" i="1"/>
  <c r="AK73" i="1"/>
  <c r="AB72" i="1"/>
  <c r="AM57" i="1"/>
  <c r="Y65" i="1"/>
  <c r="AP67" i="1"/>
  <c r="AI60" i="1"/>
  <c r="AK64" i="1"/>
  <c r="AO73" i="1"/>
  <c r="AA72" i="1"/>
  <c r="AE62" i="1"/>
  <c r="AO57" i="1"/>
  <c r="AF67" i="1"/>
  <c r="Y66" i="1"/>
  <c r="AL61" i="1"/>
  <c r="AC75" i="1"/>
  <c r="AH59" i="1"/>
  <c r="AR74" i="1"/>
  <c r="AP61" i="1"/>
  <c r="AK56" i="1"/>
  <c r="AM62" i="1"/>
  <c r="AI63" i="1"/>
  <c r="AL68" i="1"/>
  <c r="AI75" i="1"/>
  <c r="AI67" i="1"/>
  <c r="AF60" i="1"/>
  <c r="AB66" i="1"/>
  <c r="AR59" i="1"/>
  <c r="AL57" i="1"/>
  <c r="AA70" i="1"/>
  <c r="AJ61" i="1"/>
  <c r="Z75" i="1"/>
  <c r="AI70" i="1"/>
  <c r="AL56" i="1"/>
  <c r="AA65" i="1"/>
  <c r="AA62" i="1"/>
  <c r="AO72" i="1"/>
  <c r="AL62" i="1"/>
  <c r="AG69" i="1"/>
  <c r="AO63" i="1"/>
  <c r="AJ57" i="1"/>
  <c r="AJ72" i="1"/>
  <c r="Z66" i="1"/>
  <c r="AL63" i="1"/>
  <c r="AH75" i="1"/>
  <c r="AL70" i="1"/>
  <c r="AB75" i="1"/>
  <c r="AF58" i="1"/>
  <c r="AC60" i="1"/>
  <c r="Z58" i="1"/>
  <c r="AN60" i="1"/>
  <c r="Z71" i="1"/>
  <c r="AL58" i="1"/>
  <c r="AE73" i="1"/>
  <c r="AR56" i="1"/>
  <c r="AI62" i="1"/>
  <c r="AM72" i="1"/>
  <c r="AM63" i="1"/>
  <c r="AE59" i="1"/>
  <c r="AE58" i="1"/>
  <c r="AA67" i="1"/>
  <c r="AK63" i="1"/>
  <c r="AI59" i="1"/>
  <c r="AN67" i="1"/>
  <c r="AA63" i="1"/>
  <c r="AM73" i="1"/>
  <c r="AM65" i="1"/>
  <c r="AF61" i="1"/>
  <c r="Y70" i="1"/>
  <c r="AM75" i="1"/>
  <c r="AN63" i="1"/>
  <c r="AJ64" i="1"/>
  <c r="AQ56" i="1"/>
  <c r="AD65" i="1"/>
  <c r="AD70" i="1"/>
  <c r="AN69" i="1"/>
  <c r="A59" i="1"/>
  <c r="AA59" i="1"/>
  <c r="AH64" i="1"/>
  <c r="AG68" i="1"/>
  <c r="AI64" i="1"/>
  <c r="AO58" i="1"/>
  <c r="AH73" i="1"/>
  <c r="Y63" i="1"/>
  <c r="Y71" i="1"/>
  <c r="AQ57" i="1"/>
  <c r="AG60" i="1"/>
  <c r="AI61" i="1"/>
  <c r="Y68" i="1"/>
  <c r="AE72" i="1"/>
  <c r="AO75" i="1"/>
  <c r="AP58" i="1"/>
  <c r="AE63" i="1"/>
  <c r="AD75" i="1"/>
  <c r="AH70" i="1"/>
  <c r="AL72" i="1"/>
  <c r="AI65" i="1"/>
  <c r="AB69" i="1"/>
  <c r="AA73" i="1"/>
  <c r="AQ73" i="1"/>
  <c r="AL67" i="1"/>
  <c r="AN65" i="1"/>
  <c r="AB62" i="1"/>
  <c r="Z62" i="1"/>
  <c r="AD66" i="1"/>
  <c r="AI66" i="1"/>
  <c r="AG71" i="1"/>
  <c r="AL60" i="1"/>
  <c r="AP63" i="1"/>
  <c r="AP62" i="1"/>
  <c r="AC61" i="1"/>
  <c r="AG74" i="1"/>
  <c r="AR61" i="1"/>
  <c r="AL64" i="1"/>
  <c r="AR64" i="1"/>
  <c r="AE56" i="1"/>
  <c r="Z72" i="1"/>
  <c r="AH61" i="1"/>
  <c r="AR68" i="1"/>
  <c r="AQ74" i="1"/>
  <c r="AB67" i="1"/>
  <c r="AQ58" i="1"/>
  <c r="AH66" i="1"/>
  <c r="AD68" i="1"/>
  <c r="AO61" i="1"/>
  <c r="AC71" i="1"/>
  <c r="AD73" i="1"/>
  <c r="AG58" i="1"/>
  <c r="AR65" i="1"/>
  <c r="AR67" i="1"/>
  <c r="AG73" i="1"/>
  <c r="AO74" i="1"/>
  <c r="AK66" i="1"/>
  <c r="AM61" i="1"/>
  <c r="X28" i="1"/>
  <c r="A64" i="1" l="1"/>
  <c r="V13" i="2"/>
  <c r="H78" i="1"/>
  <c r="K9" i="2"/>
  <c r="A56" i="1"/>
  <c r="F5" i="2"/>
  <c r="C78" i="1"/>
  <c r="S78" i="1"/>
  <c r="A60" i="1"/>
  <c r="AC76" i="1"/>
  <c r="Y2" i="1" s="1"/>
  <c r="X77" i="1"/>
  <c r="A78" i="1" l="1"/>
  <c r="AC77" i="1"/>
  <c r="C80" i="1"/>
  <c r="AF49" i="2"/>
  <c r="N98" i="1" l="1"/>
  <c r="E91" i="1"/>
  <c r="H96" i="1"/>
  <c r="J86" i="1"/>
  <c r="H85" i="1"/>
  <c r="L88" i="1"/>
  <c r="C83" i="1"/>
  <c r="J96" i="1"/>
  <c r="K96" i="1"/>
  <c r="C85" i="1"/>
  <c r="K81" i="1"/>
  <c r="P92" i="1"/>
  <c r="D96" i="1"/>
  <c r="O98" i="1"/>
  <c r="C86" i="1"/>
  <c r="F96" i="1"/>
  <c r="U99" i="1"/>
  <c r="C87" i="1"/>
  <c r="H98" i="1"/>
  <c r="K85" i="1"/>
  <c r="R96" i="1"/>
  <c r="E85" i="1"/>
  <c r="R83" i="1"/>
  <c r="G88" i="1"/>
  <c r="D99" i="1"/>
  <c r="P88" i="1"/>
  <c r="D94" i="1"/>
  <c r="S81" i="1"/>
  <c r="P89" i="1"/>
  <c r="H84" i="1"/>
  <c r="J88" i="1"/>
  <c r="T98" i="1"/>
  <c r="C99" i="1"/>
  <c r="C98" i="1"/>
  <c r="L89" i="1"/>
  <c r="V83" i="1"/>
  <c r="P91" i="1"/>
  <c r="S85" i="1"/>
  <c r="U84" i="1"/>
  <c r="O99" i="1"/>
  <c r="T85" i="1"/>
  <c r="K99" i="1"/>
  <c r="S83" i="1"/>
  <c r="G84" i="1"/>
  <c r="U85" i="1"/>
  <c r="U90" i="1"/>
  <c r="U89" i="1"/>
  <c r="R80" i="1"/>
  <c r="E95" i="1"/>
  <c r="T96" i="1"/>
  <c r="I80" i="1"/>
  <c r="V99" i="1"/>
  <c r="I89" i="1"/>
  <c r="P99" i="1"/>
  <c r="J85" i="1"/>
  <c r="R88" i="1"/>
  <c r="I96" i="1"/>
  <c r="L86" i="1"/>
  <c r="L96" i="1"/>
  <c r="S86" i="1"/>
  <c r="H88" i="1"/>
  <c r="K83" i="1"/>
  <c r="H99" i="1"/>
  <c r="G96" i="1"/>
  <c r="E83" i="1"/>
  <c r="L85" i="1"/>
  <c r="F85" i="1"/>
  <c r="S95" i="1"/>
  <c r="D80" i="1"/>
  <c r="N94" i="1"/>
  <c r="L99" i="1"/>
  <c r="T80" i="1"/>
  <c r="L98" i="1"/>
  <c r="J84" i="1"/>
  <c r="D84" i="1"/>
  <c r="V85" i="1"/>
  <c r="G81" i="1"/>
  <c r="D88" i="1"/>
  <c r="L83" i="1"/>
  <c r="K95" i="1"/>
  <c r="P84" i="1"/>
  <c r="F91" i="1"/>
  <c r="P85" i="1"/>
  <c r="I98" i="1"/>
  <c r="O81" i="1"/>
  <c r="O85" i="1"/>
  <c r="R92" i="1"/>
  <c r="U92" i="1"/>
  <c r="H89" i="1"/>
  <c r="R86" i="1"/>
  <c r="F92" i="1"/>
  <c r="C88" i="1"/>
  <c r="G80" i="1"/>
  <c r="K97" i="1"/>
  <c r="D97" i="1"/>
  <c r="D81" i="1"/>
  <c r="V89" i="1"/>
  <c r="P96" i="1"/>
  <c r="O92" i="1"/>
  <c r="U86" i="1"/>
  <c r="O95" i="1"/>
  <c r="G93" i="1"/>
  <c r="G83" i="1"/>
  <c r="R98" i="1"/>
  <c r="U83" i="1"/>
  <c r="H92" i="1"/>
  <c r="M98" i="1"/>
  <c r="P83" i="1"/>
  <c r="G85" i="1"/>
  <c r="R85" i="1"/>
  <c r="U91" i="1"/>
  <c r="H94" i="1"/>
  <c r="G92" i="1"/>
  <c r="F90" i="1"/>
  <c r="L92" i="1"/>
  <c r="I85" i="1"/>
  <c r="U98" i="1"/>
  <c r="U96" i="1"/>
  <c r="J99" i="1"/>
  <c r="T89" i="1"/>
  <c r="L94" i="1"/>
  <c r="E88" i="1"/>
  <c r="T83" i="1"/>
  <c r="V98" i="1"/>
  <c r="I83" i="1"/>
  <c r="O96" i="1"/>
  <c r="T84" i="1"/>
  <c r="U95" i="1"/>
  <c r="G91" i="1"/>
  <c r="D89" i="1"/>
  <c r="H81" i="1"/>
  <c r="E98" i="1"/>
  <c r="F99" i="1"/>
  <c r="V84" i="1"/>
  <c r="D98" i="1"/>
  <c r="P94" i="1"/>
  <c r="T99" i="1"/>
  <c r="D85" i="1"/>
  <c r="S92" i="1"/>
  <c r="F95" i="1"/>
  <c r="S96" i="1"/>
  <c r="S98" i="1"/>
  <c r="D83" i="1"/>
  <c r="S84" i="1"/>
  <c r="O83" i="1"/>
  <c r="C96" i="1"/>
  <c r="P81" i="1"/>
  <c r="J91" i="1"/>
  <c r="J83" i="1"/>
  <c r="S99" i="1"/>
  <c r="J98" i="1"/>
  <c r="H83" i="1"/>
  <c r="V96" i="1"/>
  <c r="O84" i="1"/>
  <c r="V88" i="1"/>
  <c r="F83" i="1"/>
  <c r="E99" i="1"/>
  <c r="O87" i="1"/>
  <c r="E96" i="1"/>
  <c r="T81" i="1"/>
  <c r="I84" i="1"/>
  <c r="V81" i="1"/>
  <c r="C95" i="1"/>
  <c r="H80" i="1"/>
  <c r="O86" i="1"/>
  <c r="N84" i="1"/>
  <c r="P93" i="1"/>
  <c r="M82" i="1"/>
  <c r="Q93" i="1"/>
  <c r="Q89" i="1"/>
  <c r="K87" i="1"/>
  <c r="D87" i="1"/>
  <c r="G98" i="1"/>
  <c r="Q86" i="1"/>
  <c r="H95" i="1"/>
  <c r="M95" i="1"/>
  <c r="F80" i="1"/>
  <c r="M80" i="1"/>
  <c r="N88" i="1"/>
  <c r="D82" i="1"/>
  <c r="Q82" i="1"/>
  <c r="C97" i="1"/>
  <c r="R93" i="1"/>
  <c r="C89" i="1"/>
  <c r="H86" i="1"/>
  <c r="G90" i="1"/>
  <c r="M83" i="1"/>
  <c r="S94" i="1"/>
  <c r="E89" i="1"/>
  <c r="V97" i="1"/>
  <c r="R89" i="1"/>
  <c r="M87" i="1"/>
  <c r="K90" i="1"/>
  <c r="J81" i="1"/>
  <c r="R91" i="1"/>
  <c r="C92" i="1"/>
  <c r="J97" i="1"/>
  <c r="L97" i="1"/>
  <c r="S93" i="1"/>
  <c r="T92" i="1"/>
  <c r="O97" i="1"/>
  <c r="F89" i="1"/>
  <c r="C91" i="1"/>
  <c r="V93" i="1"/>
  <c r="Q94" i="1"/>
  <c r="G97" i="1"/>
  <c r="C82" i="1"/>
  <c r="R99" i="1"/>
  <c r="M92" i="1"/>
  <c r="L93" i="1"/>
  <c r="I92" i="1"/>
  <c r="H93" i="1"/>
  <c r="V95" i="1"/>
  <c r="P80" i="1"/>
  <c r="Q90" i="1"/>
  <c r="F88" i="1"/>
  <c r="V87" i="1"/>
  <c r="N95" i="1"/>
  <c r="P82" i="1"/>
  <c r="F98" i="1"/>
  <c r="H97" i="1"/>
  <c r="K94" i="1"/>
  <c r="Q84" i="1"/>
  <c r="M81" i="1"/>
  <c r="D95" i="1"/>
  <c r="P97" i="1"/>
  <c r="F93" i="1"/>
  <c r="V90" i="1"/>
  <c r="C81" i="1"/>
  <c r="I88" i="1"/>
  <c r="I90" i="1"/>
  <c r="H87" i="1"/>
  <c r="S88" i="1"/>
  <c r="Q80" i="1"/>
  <c r="D93" i="1"/>
  <c r="F82" i="1"/>
  <c r="G95" i="1"/>
  <c r="O93" i="1"/>
  <c r="S80" i="1"/>
  <c r="G82" i="1"/>
  <c r="G99" i="1"/>
  <c r="Q98" i="1"/>
  <c r="E97" i="1"/>
  <c r="D91" i="1"/>
  <c r="N96" i="1"/>
  <c r="M99" i="1"/>
  <c r="E84" i="1"/>
  <c r="Q85" i="1"/>
  <c r="N97" i="1"/>
  <c r="S90" i="1"/>
  <c r="E86" i="1"/>
  <c r="P87" i="1"/>
  <c r="Q96" i="1"/>
  <c r="D90" i="1"/>
  <c r="S82" i="1"/>
  <c r="D92" i="1"/>
  <c r="L90" i="1"/>
  <c r="T90" i="1"/>
  <c r="K89" i="1"/>
  <c r="T97" i="1"/>
  <c r="L84" i="1"/>
  <c r="R90" i="1"/>
  <c r="V94" i="1"/>
  <c r="R87" i="1"/>
  <c r="C84" i="1"/>
  <c r="P90" i="1"/>
  <c r="Q99" i="1"/>
  <c r="M89" i="1"/>
  <c r="T86" i="1"/>
  <c r="R81" i="1"/>
  <c r="V91" i="1"/>
  <c r="I93" i="1"/>
  <c r="F81" i="1"/>
  <c r="Q92" i="1"/>
  <c r="N89" i="1"/>
  <c r="M90" i="1"/>
  <c r="T95" i="1"/>
  <c r="K98" i="1"/>
  <c r="I91" i="1"/>
  <c r="M84" i="1"/>
  <c r="R84" i="1"/>
  <c r="S97" i="1"/>
  <c r="P95" i="1"/>
  <c r="N90" i="1"/>
  <c r="K84" i="1"/>
  <c r="M91" i="1"/>
  <c r="D86" i="1"/>
  <c r="O91" i="1"/>
  <c r="Q88" i="1"/>
  <c r="L95" i="1"/>
  <c r="J80" i="1"/>
  <c r="K82" i="1"/>
  <c r="I95" i="1"/>
  <c r="O88" i="1"/>
  <c r="O82" i="1"/>
  <c r="I97" i="1"/>
  <c r="R95" i="1"/>
  <c r="I82" i="1"/>
  <c r="G86" i="1"/>
  <c r="T82" i="1"/>
  <c r="E80" i="1"/>
  <c r="T87" i="1"/>
  <c r="R82" i="1"/>
  <c r="O90" i="1"/>
  <c r="Q83" i="1"/>
  <c r="L82" i="1"/>
  <c r="E90" i="1"/>
  <c r="J87" i="1"/>
  <c r="M88" i="1"/>
  <c r="F97" i="1"/>
  <c r="C93" i="1"/>
  <c r="I86" i="1"/>
  <c r="U87" i="1"/>
  <c r="Q95" i="1"/>
  <c r="V86" i="1"/>
  <c r="N83" i="1"/>
  <c r="H82" i="1"/>
  <c r="J92" i="1"/>
  <c r="Q81" i="1"/>
  <c r="V80" i="1"/>
  <c r="L80" i="1"/>
  <c r="S87" i="1"/>
  <c r="H91" i="1"/>
  <c r="J95" i="1"/>
  <c r="F87" i="1"/>
  <c r="J93" i="1"/>
  <c r="I94" i="1"/>
  <c r="J90" i="1"/>
  <c r="J94" i="1"/>
  <c r="P98" i="1"/>
  <c r="L91" i="1"/>
  <c r="S91" i="1"/>
  <c r="E81" i="1"/>
  <c r="R94" i="1"/>
  <c r="P86" i="1"/>
  <c r="Q87" i="1"/>
  <c r="K80" i="1"/>
  <c r="O94" i="1"/>
  <c r="L81" i="1"/>
  <c r="Q91" i="1"/>
  <c r="Q97" i="1"/>
  <c r="M93" i="1"/>
  <c r="G94" i="1"/>
  <c r="M96" i="1"/>
  <c r="V92" i="1"/>
  <c r="I87" i="1"/>
  <c r="U80" i="1"/>
  <c r="K92" i="1"/>
  <c r="N82" i="1"/>
  <c r="V82" i="1"/>
  <c r="T94" i="1"/>
  <c r="N92" i="1"/>
  <c r="O89" i="1"/>
  <c r="K93" i="1"/>
  <c r="H90" i="1"/>
  <c r="N87" i="1"/>
  <c r="M86" i="1"/>
  <c r="K88" i="1"/>
  <c r="N93" i="1"/>
  <c r="G87" i="1"/>
  <c r="E82" i="1"/>
  <c r="N85" i="1"/>
  <c r="U97" i="1"/>
  <c r="O80" i="1"/>
  <c r="J82" i="1"/>
  <c r="T88" i="1"/>
  <c r="I81" i="1"/>
  <c r="N86" i="1"/>
  <c r="U81" i="1"/>
  <c r="K91" i="1"/>
  <c r="U94" i="1"/>
  <c r="F84" i="1"/>
  <c r="J89" i="1"/>
  <c r="E94" i="1"/>
  <c r="N91" i="1"/>
  <c r="F86" i="1"/>
  <c r="I99" i="1"/>
  <c r="N81" i="1"/>
  <c r="M85" i="1"/>
  <c r="U88" i="1"/>
  <c r="S89" i="1"/>
  <c r="K86" i="1"/>
  <c r="C94" i="1"/>
  <c r="U93" i="1"/>
  <c r="T91" i="1"/>
  <c r="F94" i="1"/>
  <c r="M94" i="1"/>
  <c r="N99" i="1"/>
  <c r="T93" i="1"/>
  <c r="E93" i="1"/>
  <c r="L87" i="1"/>
  <c r="G89" i="1"/>
  <c r="U82" i="1"/>
  <c r="E87" i="1"/>
  <c r="M97" i="1"/>
  <c r="E92" i="1"/>
  <c r="C90" i="1"/>
  <c r="N80" i="1"/>
  <c r="R97" i="1"/>
  <c r="X76" i="1"/>
  <c r="X75" i="1"/>
  <c r="Y80" i="1" s="1"/>
  <c r="AK98" i="1" l="1"/>
  <c r="AD94" i="1"/>
  <c r="AH96" i="1"/>
  <c r="AK84" i="1"/>
  <c r="AL84" i="1"/>
  <c r="AK99" i="1"/>
  <c r="AB96" i="1"/>
  <c r="AP80" i="1"/>
  <c r="AK96" i="1"/>
  <c r="AG97" i="1"/>
  <c r="AA96" i="1"/>
  <c r="AQ86" i="1"/>
  <c r="Z97" i="1"/>
  <c r="AB91" i="1"/>
  <c r="AC91" i="1"/>
  <c r="AO95" i="1"/>
  <c r="Y99" i="1"/>
  <c r="AG99" i="1"/>
  <c r="Z94" i="1"/>
  <c r="Z89" i="1"/>
  <c r="Y87" i="1"/>
  <c r="AO96" i="1"/>
  <c r="AG96" i="1"/>
  <c r="AN86" i="1"/>
  <c r="AR96" i="1"/>
  <c r="AL96" i="1"/>
  <c r="AP96" i="1"/>
  <c r="AF99" i="1"/>
  <c r="AB83" i="1"/>
  <c r="AA99" i="1"/>
  <c r="AG95" i="1"/>
  <c r="Y96" i="1"/>
  <c r="AC96" i="1"/>
  <c r="AN96" i="1"/>
  <c r="AH86" i="1"/>
  <c r="AE96" i="1"/>
  <c r="AP99" i="1"/>
  <c r="AL83" i="1"/>
  <c r="AE83" i="1"/>
  <c r="AD83" i="1"/>
  <c r="AJ98" i="1"/>
  <c r="AQ89" i="1"/>
  <c r="AC93" i="1"/>
  <c r="AD96" i="1"/>
  <c r="AO83" i="1"/>
  <c r="AL99" i="1"/>
  <c r="AB85" i="1"/>
  <c r="AE92" i="1"/>
  <c r="Y93" i="1"/>
  <c r="AQ95" i="1"/>
  <c r="AK88" i="1"/>
  <c r="AN98" i="1"/>
  <c r="AR91" i="1"/>
  <c r="AE93" i="1"/>
  <c r="AQ81" i="1"/>
  <c r="AL80" i="1"/>
  <c r="AB99" i="1"/>
  <c r="AD80" i="1"/>
  <c r="AN94" i="1"/>
  <c r="AK85" i="1"/>
  <c r="AE87" i="1"/>
  <c r="AR98" i="1"/>
  <c r="AM93" i="1"/>
  <c r="Z95" i="1"/>
  <c r="AL88" i="1"/>
  <c r="AE94" i="1"/>
  <c r="AQ90" i="1"/>
  <c r="AD91" i="1"/>
  <c r="Y92" i="1"/>
  <c r="AF97" i="1"/>
  <c r="AL81" i="1"/>
  <c r="Z81" i="1"/>
  <c r="AR97" i="1"/>
  <c r="AH95" i="1"/>
  <c r="AE99" i="1"/>
  <c r="AE95" i="1"/>
  <c r="AR88" i="1"/>
  <c r="AI96" i="1"/>
  <c r="AM81" i="1"/>
  <c r="AK81" i="1"/>
  <c r="AJ81" i="1"/>
  <c r="AD99" i="1"/>
  <c r="AJ87" i="1"/>
  <c r="AC80" i="1"/>
  <c r="AJ83" i="1"/>
  <c r="AP94" i="1"/>
  <c r="AR83" i="1"/>
  <c r="AA82" i="1"/>
  <c r="AJ82" i="1"/>
  <c r="AO94" i="1"/>
  <c r="AQ82" i="1"/>
  <c r="AK86" i="1"/>
  <c r="AR82" i="1"/>
  <c r="AA95" i="1"/>
  <c r="AN91" i="1"/>
  <c r="AG81" i="1"/>
  <c r="AB88" i="1"/>
  <c r="AB90" i="1"/>
  <c r="Y84" i="1"/>
  <c r="AC90" i="1"/>
  <c r="AN82" i="1"/>
  <c r="AE88" i="1"/>
  <c r="AP93" i="1"/>
  <c r="AJ86" i="1"/>
  <c r="AJ96" i="1"/>
  <c r="AR99" i="1"/>
  <c r="AO82" i="1"/>
  <c r="AO89" i="1"/>
  <c r="AA89" i="1"/>
  <c r="AQ83" i="1"/>
  <c r="AP83" i="1"/>
  <c r="Z93" i="1"/>
  <c r="AF91" i="1"/>
  <c r="AQ84" i="1"/>
  <c r="AA92" i="1"/>
  <c r="AE84" i="1"/>
  <c r="AN90" i="1"/>
  <c r="AJ99" i="1"/>
  <c r="AI85" i="1"/>
  <c r="Y91" i="1"/>
  <c r="AF86" i="1"/>
  <c r="AI82" i="1"/>
  <c r="AE91" i="1"/>
  <c r="AR95" i="1"/>
  <c r="AM83" i="1"/>
  <c r="Y98" i="1"/>
  <c r="AM99" i="1"/>
  <c r="AR85" i="1"/>
  <c r="Y88" i="1"/>
  <c r="AL98" i="1"/>
  <c r="AO86" i="1"/>
  <c r="AN81" i="1"/>
  <c r="AJ97" i="1"/>
  <c r="AM94" i="1"/>
  <c r="AQ91" i="1"/>
  <c r="AM86" i="1"/>
  <c r="AQ87" i="1"/>
  <c r="AM98" i="1"/>
  <c r="AF92" i="1"/>
  <c r="AC95" i="1"/>
  <c r="AN95" i="1"/>
  <c r="Y97" i="1"/>
  <c r="AK97" i="1"/>
  <c r="AD84" i="1"/>
  <c r="AP90" i="1"/>
  <c r="AC84" i="1"/>
  <c r="AI88" i="1"/>
  <c r="AP97" i="1"/>
  <c r="Y86" i="1"/>
  <c r="AJ84" i="1"/>
  <c r="AF94" i="1"/>
  <c r="AK82" i="1"/>
  <c r="AG80" i="1"/>
  <c r="AP86" i="1"/>
  <c r="AQ93" i="1"/>
  <c r="AG84" i="1"/>
  <c r="AC99" i="1"/>
  <c r="AN85" i="1"/>
  <c r="AB94" i="1"/>
  <c r="AR94" i="1"/>
  <c r="AP82" i="1"/>
  <c r="AA84" i="1"/>
  <c r="AP89" i="1"/>
  <c r="AH93" i="1"/>
  <c r="AK94" i="1"/>
  <c r="AP91" i="1"/>
  <c r="AE81" i="1"/>
  <c r="AG90" i="1"/>
  <c r="AB80" i="1"/>
  <c r="AP88" i="1"/>
  <c r="AH89" i="1"/>
  <c r="AL97" i="1"/>
  <c r="AR87" i="1"/>
  <c r="AH82" i="1"/>
  <c r="AI94" i="1"/>
  <c r="AN88" i="1"/>
  <c r="AM87" i="1"/>
  <c r="AQ98" i="1"/>
  <c r="AO99" i="1"/>
  <c r="AF95" i="1"/>
  <c r="AJ91" i="1"/>
  <c r="AD93" i="1"/>
  <c r="AN84" i="1"/>
  <c r="AC85" i="1"/>
  <c r="AJ85" i="1"/>
  <c r="Z92" i="1"/>
  <c r="AH90" i="1"/>
  <c r="AB82" i="1"/>
  <c r="AA80" i="1"/>
  <c r="AC97" i="1"/>
  <c r="AM95" i="1"/>
  <c r="AN97" i="1"/>
  <c r="AD88" i="1"/>
  <c r="AH99" i="1"/>
  <c r="AB95" i="1"/>
  <c r="AE86" i="1"/>
  <c r="Y89" i="1"/>
  <c r="AI93" i="1"/>
  <c r="AE98" i="1"/>
  <c r="AC92" i="1"/>
  <c r="AK80" i="1"/>
  <c r="AI97" i="1"/>
  <c r="AI89" i="1"/>
  <c r="AO90" i="1"/>
  <c r="AM85" i="1"/>
  <c r="AA97" i="1"/>
  <c r="AB93" i="1"/>
  <c r="AC98" i="1"/>
  <c r="AQ92" i="1"/>
  <c r="AM89" i="1"/>
  <c r="AP98" i="1"/>
  <c r="AL94" i="1"/>
  <c r="AP95" i="1"/>
  <c r="AJ94" i="1"/>
  <c r="AK93" i="1"/>
  <c r="AO98" i="1"/>
  <c r="AI90" i="1"/>
  <c r="AB98" i="1"/>
  <c r="Z98" i="1"/>
  <c r="AG82" i="1"/>
  <c r="AR80" i="1"/>
  <c r="AG89" i="1"/>
  <c r="AA81" i="1"/>
  <c r="AA91" i="1"/>
  <c r="AA87" i="1"/>
  <c r="AF90" i="1"/>
  <c r="Z84" i="1"/>
  <c r="AL86" i="1"/>
  <c r="AQ99" i="1"/>
  <c r="AR81" i="1"/>
  <c r="AL91" i="1"/>
  <c r="AB89" i="1"/>
  <c r="AD97" i="1"/>
  <c r="Y83" i="1"/>
  <c r="AR92" i="1"/>
  <c r="AF85" i="1"/>
  <c r="AD82" i="1"/>
  <c r="AN87" i="1"/>
  <c r="AO88" i="1"/>
  <c r="AC86" i="1"/>
  <c r="AF96" i="1"/>
  <c r="AD90" i="1"/>
  <c r="AC81" i="1"/>
  <c r="AF88" i="1"/>
  <c r="AA98" i="1"/>
  <c r="AJ90" i="1"/>
  <c r="AG98" i="1"/>
  <c r="Z87" i="1"/>
  <c r="AE80" i="1"/>
  <c r="AJ80" i="1"/>
  <c r="Z99" i="1"/>
  <c r="AK90" i="1"/>
  <c r="AH91" i="1"/>
  <c r="AM92" i="1"/>
  <c r="AD95" i="1"/>
  <c r="AP81" i="1"/>
  <c r="AQ94" i="1"/>
  <c r="AF98" i="1"/>
  <c r="AN99" i="1"/>
  <c r="AM88" i="1"/>
  <c r="AF83" i="1"/>
  <c r="AD86" i="1"/>
  <c r="AK87" i="1"/>
  <c r="Z90" i="1"/>
  <c r="Y94" i="1"/>
  <c r="AC88" i="1"/>
  <c r="Z88" i="1"/>
  <c r="AK89" i="1"/>
  <c r="AG93" i="1"/>
  <c r="Z80" i="1"/>
  <c r="AM80" i="1"/>
  <c r="Y85" i="1"/>
  <c r="AG87" i="1"/>
  <c r="AH81" i="1"/>
  <c r="AL87" i="1"/>
  <c r="AA88" i="1"/>
  <c r="AG92" i="1"/>
  <c r="AL93" i="1"/>
  <c r="AE85" i="1"/>
  <c r="Y90" i="1"/>
  <c r="AO92" i="1"/>
  <c r="AR86" i="1"/>
  <c r="AL85" i="1"/>
  <c r="AJ93" i="1"/>
  <c r="AM90" i="1"/>
  <c r="AR84" i="1"/>
  <c r="AG86" i="1"/>
  <c r="AH94" i="1"/>
  <c r="AF80" i="1"/>
  <c r="AB87" i="1"/>
  <c r="AO81" i="1"/>
  <c r="AI92" i="1"/>
  <c r="AQ96" i="1"/>
  <c r="AM84" i="1"/>
  <c r="AA94" i="1"/>
  <c r="Y81" i="1"/>
  <c r="AC83" i="1"/>
  <c r="AL95" i="1"/>
  <c r="AK95" i="1"/>
  <c r="AB81" i="1"/>
  <c r="AB84" i="1"/>
  <c r="AD89" i="1"/>
  <c r="AN89" i="1"/>
  <c r="AI80" i="1"/>
  <c r="AJ88" i="1"/>
  <c r="AH88" i="1"/>
  <c r="AK91" i="1"/>
  <c r="AI83" i="1"/>
  <c r="Y95" i="1"/>
  <c r="AO91" i="1"/>
  <c r="AN80" i="1"/>
  <c r="Z91" i="1"/>
  <c r="AP92" i="1"/>
  <c r="AA93" i="1"/>
  <c r="AL90" i="1"/>
  <c r="AP84" i="1"/>
  <c r="AE90" i="1"/>
  <c r="AD98" i="1"/>
  <c r="AC87" i="1"/>
  <c r="AH87" i="1"/>
  <c r="AA85" i="1"/>
  <c r="AD87" i="1"/>
  <c r="AR89" i="1"/>
  <c r="AI91" i="1"/>
  <c r="AO87" i="1"/>
  <c r="AH84" i="1"/>
  <c r="AO84" i="1"/>
  <c r="AB86" i="1"/>
  <c r="AE89" i="1"/>
  <c r="AQ88" i="1"/>
  <c r="AC94" i="1"/>
  <c r="AD81" i="1"/>
  <c r="Z96" i="1"/>
  <c r="AH97" i="1"/>
  <c r="AO93" i="1"/>
  <c r="AQ97" i="1"/>
  <c r="Y82" i="1"/>
  <c r="AI86" i="1"/>
  <c r="AM97" i="1"/>
  <c r="Z83" i="1"/>
  <c r="AM96" i="1"/>
  <c r="AO85" i="1"/>
  <c r="AH83" i="1"/>
  <c r="AJ92" i="1"/>
  <c r="AN92" i="1"/>
  <c r="AR93" i="1"/>
  <c r="AH92" i="1"/>
  <c r="AE82" i="1"/>
  <c r="AH80" i="1"/>
  <c r="AR90" i="1"/>
  <c r="AI98" i="1"/>
  <c r="AL92" i="1"/>
  <c r="AG91" i="1"/>
  <c r="AI99" i="1"/>
  <c r="AL89" i="1"/>
  <c r="AP87" i="1"/>
  <c r="AD92" i="1"/>
  <c r="AN93" i="1"/>
  <c r="AB97" i="1"/>
  <c r="AD85" i="1"/>
  <c r="AK83" i="1"/>
  <c r="AJ95" i="1"/>
  <c r="AL82" i="1"/>
  <c r="AF89" i="1"/>
  <c r="AM91" i="1"/>
  <c r="AG94" i="1"/>
  <c r="AM82" i="1"/>
  <c r="AN83" i="1"/>
  <c r="AG83" i="1"/>
  <c r="AF82" i="1"/>
  <c r="Z85" i="1"/>
  <c r="AF87" i="1"/>
  <c r="AK92" i="1"/>
  <c r="AA86" i="1"/>
  <c r="AQ85" i="1"/>
  <c r="AQ80" i="1"/>
  <c r="AP85" i="1"/>
  <c r="AG85" i="1"/>
  <c r="AA90" i="1"/>
  <c r="Z82" i="1"/>
  <c r="AO80" i="1"/>
  <c r="AC82" i="1"/>
  <c r="AG88" i="1"/>
  <c r="AF81" i="1"/>
  <c r="AA83" i="1"/>
  <c r="AI87" i="1"/>
  <c r="AI81" i="1"/>
  <c r="AH98" i="1"/>
  <c r="Z86" i="1"/>
  <c r="AH85" i="1"/>
  <c r="AJ89" i="1"/>
  <c r="AO97" i="1"/>
  <c r="AF93" i="1"/>
  <c r="AC89" i="1"/>
  <c r="AI95" i="1"/>
  <c r="AF84" i="1"/>
  <c r="AE97" i="1"/>
  <c r="AI84" i="1"/>
  <c r="AB92" i="1"/>
</calcChain>
</file>

<file path=xl/sharedStrings.xml><?xml version="1.0" encoding="utf-8"?>
<sst xmlns="http://schemas.openxmlformats.org/spreadsheetml/2006/main" count="38" uniqueCount="30">
  <si>
    <t>runs</t>
  </si>
  <si>
    <t>update</t>
  </si>
  <si>
    <t>%</t>
  </si>
  <si>
    <t>run</t>
  </si>
  <si>
    <t>bias</t>
  </si>
  <si>
    <t>i</t>
  </si>
  <si>
    <t>All</t>
  </si>
  <si>
    <t>Avg</t>
  </si>
  <si>
    <t>Total</t>
  </si>
  <si>
    <t>isolate</t>
  </si>
  <si>
    <t>global add</t>
  </si>
  <si>
    <t>n isolate</t>
  </si>
  <si>
    <t>isolate distance</t>
  </si>
  <si>
    <t>x</t>
  </si>
  <si>
    <t>y</t>
  </si>
  <si>
    <t>temp</t>
  </si>
  <si>
    <t>Temp</t>
  </si>
  <si>
    <t>Dist</t>
  </si>
  <si>
    <t>Cities</t>
  </si>
  <si>
    <t>Runs</t>
  </si>
  <si>
    <t>STDEV</t>
  </si>
  <si>
    <t>SUM</t>
  </si>
  <si>
    <t>dist fact</t>
  </si>
  <si>
    <t>\</t>
  </si>
  <si>
    <t>Readout</t>
  </si>
  <si>
    <t>complete</t>
  </si>
  <si>
    <t>done</t>
  </si>
  <si>
    <t>N</t>
  </si>
  <si>
    <t>L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</si>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</sst>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B0F0"/>
      <name val="Calibri"/>
      <family val="2"/>
      <scheme val="minor"/>
    </font>
    <font>
      <sz val="8"/>
      <color rgb="FF00B0F0"/>
      <name val="Calibri"/>
      <family val="2"/>
      <scheme val="minor"/>
    </font>
    <font>
      <sz val="8"/>
      <color rgb="FFFF00FF"/>
      <name val="Calibri"/>
      <family val="2"/>
      <scheme val="minor"/>
    </font>
    <font>
      <sz val="11"/>
      <color rgb="FF000000"/>
      <name val="Calibri"/>
      <family val="2"/>
    </font>
    <font>
      <sz val="5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color rgb="FF92D05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6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FF00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n">
        <color rgb="FFFF00FF"/>
      </left>
      <right/>
      <top style="thin">
        <color rgb="FFFF00FF"/>
      </top>
      <bottom/>
      <diagonal/>
    </border>
    <border>
      <left/>
      <right style="thin">
        <color rgb="FFFF00FF"/>
      </right>
      <top style="thin">
        <color rgb="FFFF00FF"/>
      </top>
      <bottom/>
      <diagonal/>
    </border>
    <border>
      <left style="thin">
        <color rgb="FFFF00FF"/>
      </left>
      <right/>
      <top/>
      <bottom/>
      <diagonal/>
    </border>
    <border>
      <left/>
      <right style="thin">
        <color rgb="FFFF00FF"/>
      </right>
      <top/>
      <bottom/>
      <diagonal/>
    </border>
    <border>
      <left style="thin">
        <color rgb="FFFF00FF"/>
      </left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/>
      <right/>
      <top style="thin">
        <color rgb="FFFF00FF"/>
      </top>
      <bottom/>
      <diagonal/>
    </border>
    <border>
      <left/>
      <right/>
      <top/>
      <bottom style="thin">
        <color rgb="FFFF00FF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9" fillId="2" borderId="0" xfId="0" applyFont="1" applyFill="1" applyAlignment="1">
      <alignment horizontal="left"/>
    </xf>
    <xf numFmtId="2" fontId="9" fillId="2" borderId="0" xfId="0" applyNumberFormat="1" applyFont="1" applyFill="1" applyAlignment="1">
      <alignment horizontal="left"/>
    </xf>
    <xf numFmtId="1" fontId="10" fillId="2" borderId="0" xfId="0" applyNumberFormat="1" applyFont="1" applyFill="1" applyAlignment="1">
      <alignment horizontal="left"/>
    </xf>
    <xf numFmtId="0" fontId="11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11" fontId="12" fillId="2" borderId="0" xfId="0" applyNumberFormat="1" applyFont="1" applyFill="1" applyAlignment="1">
      <alignment horizontal="left"/>
    </xf>
    <xf numFmtId="1" fontId="10" fillId="2" borderId="1" xfId="0" applyNumberFormat="1" applyFont="1" applyFill="1" applyBorder="1" applyAlignment="1">
      <alignment horizontal="left"/>
    </xf>
    <xf numFmtId="1" fontId="10" fillId="2" borderId="2" xfId="0" applyNumberFormat="1" applyFont="1" applyFill="1" applyBorder="1" applyAlignment="1">
      <alignment horizontal="left"/>
    </xf>
    <xf numFmtId="1" fontId="10" fillId="2" borderId="3" xfId="0" applyNumberFormat="1" applyFont="1" applyFill="1" applyBorder="1" applyAlignment="1">
      <alignment horizontal="left"/>
    </xf>
    <xf numFmtId="1" fontId="10" fillId="2" borderId="4" xfId="0" applyNumberFormat="1" applyFont="1" applyFill="1" applyBorder="1" applyAlignment="1">
      <alignment horizontal="left"/>
    </xf>
    <xf numFmtId="1" fontId="10" fillId="2" borderId="5" xfId="0" applyNumberFormat="1" applyFont="1" applyFill="1" applyBorder="1" applyAlignment="1">
      <alignment horizontal="left"/>
    </xf>
    <xf numFmtId="1" fontId="10" fillId="2" borderId="6" xfId="0" applyNumberFormat="1" applyFont="1" applyFill="1" applyBorder="1" applyAlignment="1">
      <alignment horizontal="left"/>
    </xf>
    <xf numFmtId="1" fontId="10" fillId="2" borderId="7" xfId="0" applyNumberFormat="1" applyFont="1" applyFill="1" applyBorder="1" applyAlignment="1">
      <alignment horizontal="left"/>
    </xf>
    <xf numFmtId="1" fontId="10" fillId="2" borderId="8" xfId="0" applyNumberFormat="1" applyFont="1" applyFill="1" applyBorder="1" applyAlignment="1">
      <alignment horizontal="left"/>
    </xf>
    <xf numFmtId="0" fontId="13" fillId="2" borderId="0" xfId="0" applyFont="1" applyFill="1" applyAlignment="1">
      <alignment horizontal="left"/>
    </xf>
    <xf numFmtId="2" fontId="12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9" fontId="5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11" fontId="7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9" fontId="1" fillId="0" borderId="0" xfId="0" applyNumberFormat="1" applyFont="1" applyAlignment="1">
      <alignment horizontal="left"/>
    </xf>
    <xf numFmtId="2" fontId="10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7" fillId="0" borderId="9" xfId="0" applyFont="1" applyBorder="1" applyAlignment="1">
      <alignment horizontal="left"/>
    </xf>
    <xf numFmtId="0" fontId="17" fillId="0" borderId="15" xfId="0" applyFont="1" applyBorder="1" applyAlignment="1">
      <alignment horizontal="left"/>
    </xf>
    <xf numFmtId="9" fontId="17" fillId="0" borderId="15" xfId="0" applyNumberFormat="1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12" xfId="0" applyFont="1" applyBorder="1" applyAlignment="1">
      <alignment horizontal="left"/>
    </xf>
    <xf numFmtId="0" fontId="17" fillId="0" borderId="13" xfId="0" applyFont="1" applyBorder="1" applyAlignment="1">
      <alignment horizontal="left"/>
    </xf>
    <xf numFmtId="0" fontId="17" fillId="0" borderId="16" xfId="0" applyFont="1" applyBorder="1" applyAlignment="1">
      <alignment horizontal="left"/>
    </xf>
    <xf numFmtId="0" fontId="5" fillId="0" borderId="16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13" xfId="0" applyFont="1" applyBorder="1" applyAlignment="1">
      <alignment horizontal="left"/>
    </xf>
    <xf numFmtId="0" fontId="18" fillId="2" borderId="0" xfId="0" applyFont="1" applyFill="1" applyAlignment="1">
      <alignment horizontal="left"/>
    </xf>
    <xf numFmtId="0" fontId="19" fillId="2" borderId="0" xfId="0" applyFont="1" applyFill="1" applyAlignment="1">
      <alignment horizontal="left"/>
    </xf>
    <xf numFmtId="2" fontId="19" fillId="2" borderId="0" xfId="0" applyNumberFormat="1" applyFont="1" applyFill="1" applyAlignment="1">
      <alignment horizontal="left"/>
    </xf>
    <xf numFmtId="164" fontId="19" fillId="2" borderId="0" xfId="0" applyNumberFormat="1" applyFont="1" applyFill="1" applyAlignment="1">
      <alignment horizontal="left"/>
    </xf>
    <xf numFmtId="9" fontId="19" fillId="2" borderId="0" xfId="0" applyNumberFormat="1" applyFont="1" applyFill="1" applyAlignment="1">
      <alignment horizontal="left"/>
    </xf>
  </cellXfs>
  <cellStyles count="1">
    <cellStyle name="Normal" xfId="0" builtinId="0"/>
  </cellStyles>
  <dxfs count="3">
    <dxf>
      <font>
        <color theme="1"/>
      </font>
      <fill>
        <patternFill>
          <bgColor theme="1"/>
        </patternFill>
      </fill>
    </dxf>
    <dxf>
      <fill>
        <patternFill>
          <bgColor rgb="FFFF00FF"/>
        </patternFill>
      </fill>
    </dxf>
    <dxf>
      <font>
        <color rgb="FFFF00FF"/>
      </font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361950</xdr:colOff>
          <xdr:row>11</xdr:row>
          <xdr:rowOff>12700</xdr:rowOff>
        </xdr:from>
        <xdr:to>
          <xdr:col>26</xdr:col>
          <xdr:colOff>406400</xdr:colOff>
          <xdr:row>15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349250</xdr:colOff>
          <xdr:row>19</xdr:row>
          <xdr:rowOff>107950</xdr:rowOff>
        </xdr:from>
        <xdr:to>
          <xdr:col>27</xdr:col>
          <xdr:colOff>25400</xdr:colOff>
          <xdr:row>25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minimize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energy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349250</xdr:colOff>
          <xdr:row>112</xdr:row>
          <xdr:rowOff>107950</xdr:rowOff>
        </xdr:from>
        <xdr:to>
          <xdr:col>27</xdr:col>
          <xdr:colOff>25400</xdr:colOff>
          <xdr:row>117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minimize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energy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349250</xdr:colOff>
          <xdr:row>112</xdr:row>
          <xdr:rowOff>120650</xdr:rowOff>
        </xdr:from>
        <xdr:to>
          <xdr:col>29</xdr:col>
          <xdr:colOff>298450</xdr:colOff>
          <xdr:row>117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292100</xdr:colOff>
          <xdr:row>112</xdr:row>
          <xdr:rowOff>127000</xdr:rowOff>
        </xdr:from>
        <xdr:to>
          <xdr:col>40</xdr:col>
          <xdr:colOff>25400</xdr:colOff>
          <xdr:row>118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screensaver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292100</xdr:colOff>
          <xdr:row>8</xdr:row>
          <xdr:rowOff>127000</xdr:rowOff>
        </xdr:from>
        <xdr:to>
          <xdr:col>39</xdr:col>
          <xdr:colOff>25400</xdr:colOff>
          <xdr:row>15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screensaver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349250</xdr:colOff>
          <xdr:row>160</xdr:row>
          <xdr:rowOff>120650</xdr:rowOff>
        </xdr:from>
        <xdr:to>
          <xdr:col>30</xdr:col>
          <xdr:colOff>298450</xdr:colOff>
          <xdr:row>166</xdr:row>
          <xdr:rowOff>31750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120650</xdr:colOff>
          <xdr:row>160</xdr:row>
          <xdr:rowOff>88900</xdr:rowOff>
        </xdr:from>
        <xdr:to>
          <xdr:col>34</xdr:col>
          <xdr:colOff>215900</xdr:colOff>
          <xdr:row>166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screensaver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76200</xdr:colOff>
          <xdr:row>23</xdr:row>
          <xdr:rowOff>6350</xdr:rowOff>
        </xdr:from>
        <xdr:to>
          <xdr:col>33</xdr:col>
          <xdr:colOff>139700</xdr:colOff>
          <xdr:row>28</xdr:row>
          <xdr:rowOff>50800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minimize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energy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107950</xdr:colOff>
          <xdr:row>22</xdr:row>
          <xdr:rowOff>127000</xdr:rowOff>
        </xdr:from>
        <xdr:to>
          <xdr:col>38</xdr:col>
          <xdr:colOff>88900</xdr:colOff>
          <xdr:row>28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screensaver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82550</xdr:colOff>
          <xdr:row>31</xdr:row>
          <xdr:rowOff>25400</xdr:rowOff>
        </xdr:from>
        <xdr:to>
          <xdr:col>33</xdr:col>
          <xdr:colOff>146050</xdr:colOff>
          <xdr:row>36</xdr:row>
          <xdr:rowOff>69850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68942426-EEC3-F4EB-D454-9FE5BDC01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46411-2C13-4296-9BA4-63C2414962AD}">
  <sheetPr codeName="Sheet1"/>
  <dimension ref="A1:AR149"/>
  <sheetViews>
    <sheetView showGridLines="0" topLeftCell="A79" zoomScale="70" zoomScaleNormal="70" workbookViewId="0">
      <selection activeCell="AW133" sqref="AW133"/>
    </sheetView>
  </sheetViews>
  <sheetFormatPr defaultColWidth="5.1796875" defaultRowHeight="10.5" x14ac:dyDescent="0.25"/>
  <cols>
    <col min="1" max="2" width="5.1796875" style="19"/>
    <col min="3" max="13" width="5.1796875" style="20"/>
    <col min="14" max="14" width="5.1796875" style="20" customWidth="1"/>
    <col min="15" max="22" width="5.1796875" style="20"/>
    <col min="23" max="23" width="6.1796875" style="20" customWidth="1"/>
    <col min="24" max="24" width="5.81640625" style="20" bestFit="1" customWidth="1"/>
    <col min="25" max="25" width="6" style="20" bestFit="1" customWidth="1"/>
    <col min="26" max="26" width="7.08984375" style="20" customWidth="1"/>
    <col min="27" max="27" width="7.1796875" style="20" bestFit="1" customWidth="1"/>
    <col min="28" max="16384" width="5.1796875" style="20"/>
  </cols>
  <sheetData>
    <row r="1" spans="1:32" ht="15.5" x14ac:dyDescent="0.35">
      <c r="X1" s="21" t="s">
        <v>5</v>
      </c>
      <c r="Y1" s="21" t="s">
        <v>4</v>
      </c>
      <c r="Z1" s="21" t="s">
        <v>1</v>
      </c>
      <c r="AA1" s="21" t="s">
        <v>0</v>
      </c>
      <c r="AB1" s="21" t="s">
        <v>3</v>
      </c>
      <c r="AC1" s="21" t="s">
        <v>2</v>
      </c>
      <c r="AD1" s="21" t="s">
        <v>25</v>
      </c>
    </row>
    <row r="2" spans="1:32" x14ac:dyDescent="0.25">
      <c r="X2" s="20">
        <v>1</v>
      </c>
      <c r="Y2" s="22">
        <f>TANH(((1/AC76)-1))*2</f>
        <v>-1.0174642611405713</v>
      </c>
      <c r="Z2" s="20">
        <f ca="1">RANDBETWEEN(1,20)</f>
        <v>2</v>
      </c>
      <c r="AA2" s="23">
        <v>7000</v>
      </c>
      <c r="AB2" s="20">
        <v>7424</v>
      </c>
      <c r="AC2" s="24">
        <f>AB2/AA2</f>
        <v>1.0605714285714285</v>
      </c>
      <c r="AD2" s="20">
        <v>1</v>
      </c>
    </row>
    <row r="3" spans="1:32" x14ac:dyDescent="0.25">
      <c r="X3" s="20" t="s">
        <v>9</v>
      </c>
      <c r="Y3" s="20">
        <v>0.23</v>
      </c>
      <c r="Z3" s="20">
        <f ca="1">RANDBETWEEN(1,20)</f>
        <v>20</v>
      </c>
    </row>
    <row r="4" spans="1:32" x14ac:dyDescent="0.25">
      <c r="X4" s="20" t="s">
        <v>11</v>
      </c>
      <c r="Y4" s="20">
        <v>-40.299999999999997</v>
      </c>
      <c r="Z4" s="20">
        <v>-4.7</v>
      </c>
    </row>
    <row r="5" spans="1:32" x14ac:dyDescent="0.25">
      <c r="W5" s="20" t="s">
        <v>10</v>
      </c>
      <c r="Y5" s="20">
        <f>(23.7/X51-1)*24</f>
        <v>16.628571428571426</v>
      </c>
      <c r="Z5" s="20">
        <v>7.57</v>
      </c>
    </row>
    <row r="6" spans="1:32" x14ac:dyDescent="0.25">
      <c r="W6" s="20" t="s">
        <v>12</v>
      </c>
      <c r="Y6" s="20">
        <v>0</v>
      </c>
    </row>
    <row r="7" spans="1:32" s="19" customFormat="1" x14ac:dyDescent="0.25">
      <c r="C7" s="19">
        <f>A9</f>
        <v>14</v>
      </c>
      <c r="D7" s="19">
        <f>A10</f>
        <v>15</v>
      </c>
      <c r="E7" s="19">
        <f>A11</f>
        <v>16</v>
      </c>
      <c r="F7" s="19">
        <f>A12</f>
        <v>2</v>
      </c>
      <c r="G7" s="19">
        <f>A13</f>
        <v>2</v>
      </c>
      <c r="H7" s="19">
        <f>A14</f>
        <v>4</v>
      </c>
      <c r="I7" s="19">
        <f>A15</f>
        <v>1</v>
      </c>
      <c r="J7" s="19">
        <f>A16</f>
        <v>8</v>
      </c>
      <c r="K7" s="19">
        <f>A17</f>
        <v>9</v>
      </c>
      <c r="L7" s="19">
        <f>A18</f>
        <v>13</v>
      </c>
      <c r="M7" s="19">
        <f>A19</f>
        <v>3</v>
      </c>
      <c r="N7" s="19">
        <f>A20</f>
        <v>13</v>
      </c>
      <c r="O7" s="19">
        <f>A21</f>
        <v>12</v>
      </c>
      <c r="P7" s="19">
        <f>A22</f>
        <v>11</v>
      </c>
      <c r="Q7" s="19">
        <f>A23</f>
        <v>19</v>
      </c>
      <c r="R7" s="19">
        <f>A24</f>
        <v>6</v>
      </c>
      <c r="S7" s="19">
        <f>A25</f>
        <v>2</v>
      </c>
      <c r="T7" s="19">
        <f>A26</f>
        <v>17</v>
      </c>
      <c r="U7" s="19">
        <f>A27</f>
        <v>2</v>
      </c>
      <c r="V7" s="19">
        <f>A28</f>
        <v>2</v>
      </c>
      <c r="X7" s="19" t="s">
        <v>15</v>
      </c>
      <c r="Y7" s="19">
        <v>-6.0428571428571498E-2</v>
      </c>
    </row>
    <row r="8" spans="1:32" s="19" customFormat="1" x14ac:dyDescent="0.25">
      <c r="C8" s="19">
        <f>B9</f>
        <v>14</v>
      </c>
      <c r="D8" s="19">
        <f>B10</f>
        <v>5</v>
      </c>
      <c r="E8" s="19">
        <f>B11</f>
        <v>20</v>
      </c>
      <c r="F8" s="19">
        <f>B12</f>
        <v>8</v>
      </c>
      <c r="G8" s="19">
        <f>B13</f>
        <v>4</v>
      </c>
      <c r="H8" s="19">
        <f>B14</f>
        <v>6</v>
      </c>
      <c r="I8" s="19">
        <f>B15</f>
        <v>16</v>
      </c>
      <c r="J8" s="19">
        <f>B16</f>
        <v>1</v>
      </c>
      <c r="K8" s="19">
        <f>B17</f>
        <v>6</v>
      </c>
      <c r="L8" s="19">
        <f>B18</f>
        <v>3</v>
      </c>
      <c r="M8" s="19">
        <f>B19</f>
        <v>10</v>
      </c>
      <c r="N8" s="19">
        <f>B20</f>
        <v>14</v>
      </c>
      <c r="O8" s="19">
        <f>B21</f>
        <v>16</v>
      </c>
      <c r="P8" s="19">
        <f>B22</f>
        <v>14</v>
      </c>
      <c r="Q8" s="19">
        <f>B23</f>
        <v>14</v>
      </c>
      <c r="R8" s="19">
        <f>B24</f>
        <v>2</v>
      </c>
      <c r="S8" s="19">
        <f>B25</f>
        <v>14</v>
      </c>
      <c r="T8" s="19">
        <f>B26</f>
        <v>9</v>
      </c>
      <c r="U8" s="19">
        <f>B27</f>
        <v>10</v>
      </c>
      <c r="V8" s="19">
        <f>B28</f>
        <v>9</v>
      </c>
      <c r="X8" s="19" t="s">
        <v>4</v>
      </c>
      <c r="Y8" s="19">
        <v>0.9</v>
      </c>
    </row>
    <row r="9" spans="1:32" x14ac:dyDescent="0.25">
      <c r="A9" s="25">
        <v>14</v>
      </c>
      <c r="B9" s="25">
        <v>14</v>
      </c>
      <c r="C9" s="26">
        <f>SQRT((C$7-$A9)^2+($B9-C$8)^2)</f>
        <v>0</v>
      </c>
      <c r="D9" s="26">
        <f>SQRT((D$7-$A9)^2+($B9-D$8)^2)</f>
        <v>9.0553851381374173</v>
      </c>
      <c r="E9" s="26">
        <f t="shared" ref="C9:L18" si="0">SQRT((E$7-$A9)^2+($B9-E$8)^2)</f>
        <v>6.324555320336759</v>
      </c>
      <c r="F9" s="26">
        <f t="shared" si="0"/>
        <v>13.416407864998739</v>
      </c>
      <c r="G9" s="26">
        <f t="shared" si="0"/>
        <v>15.620499351813308</v>
      </c>
      <c r="H9" s="26">
        <f t="shared" si="0"/>
        <v>12.806248474865697</v>
      </c>
      <c r="I9" s="26">
        <f t="shared" si="0"/>
        <v>13.152946437965905</v>
      </c>
      <c r="J9" s="26">
        <f t="shared" si="0"/>
        <v>14.317821063276353</v>
      </c>
      <c r="K9" s="26">
        <f t="shared" si="0"/>
        <v>9.4339811320566032</v>
      </c>
      <c r="L9" s="26">
        <f t="shared" si="0"/>
        <v>11.045361017187261</v>
      </c>
      <c r="M9" s="26">
        <f t="shared" ref="M9:V18" si="1">SQRT((M$7-$A9)^2+($B9-M$8)^2)</f>
        <v>11.704699910719626</v>
      </c>
      <c r="N9" s="26">
        <f t="shared" si="1"/>
        <v>1</v>
      </c>
      <c r="O9" s="26">
        <f t="shared" si="1"/>
        <v>2.8284271247461903</v>
      </c>
      <c r="P9" s="26">
        <f t="shared" si="1"/>
        <v>3</v>
      </c>
      <c r="Q9" s="26">
        <f t="shared" si="1"/>
        <v>5</v>
      </c>
      <c r="R9" s="26">
        <f t="shared" si="1"/>
        <v>14.422205101855956</v>
      </c>
      <c r="S9" s="26">
        <f t="shared" si="1"/>
        <v>12</v>
      </c>
      <c r="T9" s="26">
        <f t="shared" si="1"/>
        <v>5.8309518948453007</v>
      </c>
      <c r="U9" s="26">
        <f t="shared" si="1"/>
        <v>12.649110640673518</v>
      </c>
      <c r="V9" s="26">
        <f t="shared" si="1"/>
        <v>13</v>
      </c>
      <c r="X9" s="20" t="s">
        <v>22</v>
      </c>
      <c r="Y9" s="20">
        <v>1</v>
      </c>
      <c r="AE9" s="27">
        <f ca="1">RANDBETWEEN(1,20)</f>
        <v>17</v>
      </c>
      <c r="AF9" s="27">
        <f ca="1">RANDBETWEEN(1,20)</f>
        <v>18</v>
      </c>
    </row>
    <row r="10" spans="1:32" x14ac:dyDescent="0.25">
      <c r="A10" s="25">
        <v>15</v>
      </c>
      <c r="B10" s="25">
        <v>5</v>
      </c>
      <c r="C10" s="26">
        <f t="shared" si="0"/>
        <v>9.0553851381374173</v>
      </c>
      <c r="D10" s="26">
        <f t="shared" si="0"/>
        <v>0</v>
      </c>
      <c r="E10" s="26">
        <f t="shared" si="0"/>
        <v>15.033296378372908</v>
      </c>
      <c r="F10" s="26">
        <f t="shared" si="0"/>
        <v>13.341664064126334</v>
      </c>
      <c r="G10" s="26">
        <f t="shared" si="0"/>
        <v>13.038404810405298</v>
      </c>
      <c r="H10" s="26">
        <f t="shared" si="0"/>
        <v>11.045361017187261</v>
      </c>
      <c r="I10" s="26">
        <f t="shared" si="0"/>
        <v>17.804493814764857</v>
      </c>
      <c r="J10" s="26">
        <f t="shared" si="0"/>
        <v>8.0622577482985491</v>
      </c>
      <c r="K10" s="26">
        <f t="shared" si="0"/>
        <v>6.0827625302982193</v>
      </c>
      <c r="L10" s="26">
        <f t="shared" si="0"/>
        <v>2.8284271247461903</v>
      </c>
      <c r="M10" s="26">
        <f t="shared" si="1"/>
        <v>13</v>
      </c>
      <c r="N10" s="26">
        <f t="shared" si="1"/>
        <v>9.2195444572928871</v>
      </c>
      <c r="O10" s="26">
        <f t="shared" si="1"/>
        <v>11.401754250991379</v>
      </c>
      <c r="P10" s="26">
        <f t="shared" si="1"/>
        <v>9.8488578017961039</v>
      </c>
      <c r="Q10" s="26">
        <f t="shared" si="1"/>
        <v>9.8488578017961039</v>
      </c>
      <c r="R10" s="26">
        <f t="shared" si="1"/>
        <v>9.4868329805051381</v>
      </c>
      <c r="S10" s="26">
        <f t="shared" si="1"/>
        <v>15.811388300841896</v>
      </c>
      <c r="T10" s="26">
        <f t="shared" si="1"/>
        <v>4.4721359549995796</v>
      </c>
      <c r="U10" s="26">
        <f t="shared" si="1"/>
        <v>13.928388277184119</v>
      </c>
      <c r="V10" s="26">
        <f t="shared" si="1"/>
        <v>13.601470508735444</v>
      </c>
      <c r="W10" s="19"/>
      <c r="X10" s="19"/>
      <c r="AE10" s="27">
        <f t="shared" ref="AE10:AF27" ca="1" si="2">RANDBETWEEN(1,20)</f>
        <v>1</v>
      </c>
      <c r="AF10" s="27">
        <f t="shared" ca="1" si="2"/>
        <v>9</v>
      </c>
    </row>
    <row r="11" spans="1:32" x14ac:dyDescent="0.25">
      <c r="A11" s="25">
        <v>16</v>
      </c>
      <c r="B11" s="25">
        <v>20</v>
      </c>
      <c r="C11" s="26">
        <f t="shared" si="0"/>
        <v>6.324555320336759</v>
      </c>
      <c r="D11" s="26">
        <f t="shared" si="0"/>
        <v>15.033296378372908</v>
      </c>
      <c r="E11" s="26">
        <f t="shared" si="0"/>
        <v>0</v>
      </c>
      <c r="F11" s="26">
        <f t="shared" si="0"/>
        <v>18.439088914585774</v>
      </c>
      <c r="G11" s="26">
        <f t="shared" si="0"/>
        <v>21.2602916254693</v>
      </c>
      <c r="H11" s="26">
        <f t="shared" si="0"/>
        <v>18.439088914585774</v>
      </c>
      <c r="I11" s="26">
        <f t="shared" si="0"/>
        <v>15.524174696260024</v>
      </c>
      <c r="J11" s="26">
        <f t="shared" si="0"/>
        <v>20.615528128088304</v>
      </c>
      <c r="K11" s="26">
        <f t="shared" si="0"/>
        <v>15.652475842498529</v>
      </c>
      <c r="L11" s="26">
        <f t="shared" si="0"/>
        <v>17.262676501632068</v>
      </c>
      <c r="M11" s="26">
        <f t="shared" si="1"/>
        <v>16.401219466856727</v>
      </c>
      <c r="N11" s="26">
        <f t="shared" si="1"/>
        <v>6.7082039324993694</v>
      </c>
      <c r="O11" s="26">
        <f t="shared" si="1"/>
        <v>5.6568542494923806</v>
      </c>
      <c r="P11" s="26">
        <f t="shared" si="1"/>
        <v>7.810249675906654</v>
      </c>
      <c r="Q11" s="26">
        <f t="shared" si="1"/>
        <v>6.7082039324993694</v>
      </c>
      <c r="R11" s="26">
        <f t="shared" si="1"/>
        <v>20.591260281974002</v>
      </c>
      <c r="S11" s="26">
        <f t="shared" si="1"/>
        <v>15.231546211727817</v>
      </c>
      <c r="T11" s="26">
        <f t="shared" si="1"/>
        <v>11.045361017187261</v>
      </c>
      <c r="U11" s="26">
        <f t="shared" si="1"/>
        <v>17.204650534085253</v>
      </c>
      <c r="V11" s="26">
        <f t="shared" si="1"/>
        <v>17.804493814764857</v>
      </c>
      <c r="W11" s="19"/>
      <c r="X11" s="19"/>
      <c r="AE11" s="27">
        <f t="shared" ca="1" si="2"/>
        <v>5</v>
      </c>
      <c r="AF11" s="27">
        <f t="shared" ca="1" si="2"/>
        <v>19</v>
      </c>
    </row>
    <row r="12" spans="1:32" x14ac:dyDescent="0.25">
      <c r="A12" s="25">
        <v>2</v>
      </c>
      <c r="B12" s="25">
        <v>8</v>
      </c>
      <c r="C12" s="26">
        <f t="shared" si="0"/>
        <v>13.416407864998739</v>
      </c>
      <c r="D12" s="26">
        <f t="shared" si="0"/>
        <v>13.341664064126334</v>
      </c>
      <c r="E12" s="26">
        <f t="shared" si="0"/>
        <v>18.439088914585774</v>
      </c>
      <c r="F12" s="26">
        <f t="shared" si="0"/>
        <v>0</v>
      </c>
      <c r="G12" s="26">
        <f t="shared" si="0"/>
        <v>4</v>
      </c>
      <c r="H12" s="26">
        <f t="shared" si="0"/>
        <v>2.8284271247461903</v>
      </c>
      <c r="I12" s="26">
        <f t="shared" si="0"/>
        <v>8.0622577482985491</v>
      </c>
      <c r="J12" s="26">
        <f t="shared" si="0"/>
        <v>9.2195444572928871</v>
      </c>
      <c r="K12" s="26">
        <f t="shared" si="0"/>
        <v>7.2801098892805181</v>
      </c>
      <c r="L12" s="26">
        <f t="shared" si="0"/>
        <v>12.083045973594572</v>
      </c>
      <c r="M12" s="26">
        <f t="shared" si="1"/>
        <v>2.2360679774997898</v>
      </c>
      <c r="N12" s="26">
        <f t="shared" si="1"/>
        <v>12.529964086141668</v>
      </c>
      <c r="O12" s="26">
        <f t="shared" si="1"/>
        <v>12.806248474865697</v>
      </c>
      <c r="P12" s="26">
        <f t="shared" si="1"/>
        <v>10.816653826391969</v>
      </c>
      <c r="Q12" s="26">
        <f t="shared" si="1"/>
        <v>18.027756377319946</v>
      </c>
      <c r="R12" s="26">
        <f t="shared" si="1"/>
        <v>7.2111025509279782</v>
      </c>
      <c r="S12" s="26">
        <f t="shared" si="1"/>
        <v>6</v>
      </c>
      <c r="T12" s="26">
        <f t="shared" si="1"/>
        <v>15.033296378372908</v>
      </c>
      <c r="U12" s="26">
        <f t="shared" si="1"/>
        <v>2</v>
      </c>
      <c r="V12" s="26">
        <f t="shared" si="1"/>
        <v>1</v>
      </c>
      <c r="W12" s="19"/>
      <c r="X12" s="19"/>
      <c r="AE12" s="27">
        <f t="shared" ca="1" si="2"/>
        <v>14</v>
      </c>
      <c r="AF12" s="27">
        <f t="shared" ca="1" si="2"/>
        <v>9</v>
      </c>
    </row>
    <row r="13" spans="1:32" x14ac:dyDescent="0.25">
      <c r="A13" s="25">
        <v>2</v>
      </c>
      <c r="B13" s="25">
        <v>4</v>
      </c>
      <c r="C13" s="26">
        <f t="shared" si="0"/>
        <v>15.620499351813308</v>
      </c>
      <c r="D13" s="26">
        <f t="shared" si="0"/>
        <v>13.038404810405298</v>
      </c>
      <c r="E13" s="26">
        <f t="shared" si="0"/>
        <v>21.2602916254693</v>
      </c>
      <c r="F13" s="26">
        <f t="shared" si="0"/>
        <v>4</v>
      </c>
      <c r="G13" s="26">
        <f t="shared" si="0"/>
        <v>0</v>
      </c>
      <c r="H13" s="26">
        <f t="shared" si="0"/>
        <v>2.8284271247461903</v>
      </c>
      <c r="I13" s="26">
        <f t="shared" si="0"/>
        <v>12.041594578792296</v>
      </c>
      <c r="J13" s="26">
        <f t="shared" si="0"/>
        <v>6.7082039324993694</v>
      </c>
      <c r="K13" s="26">
        <f t="shared" si="0"/>
        <v>7.2801098892805181</v>
      </c>
      <c r="L13" s="26">
        <f t="shared" si="0"/>
        <v>11.045361017187261</v>
      </c>
      <c r="M13" s="26">
        <f t="shared" si="1"/>
        <v>6.0827625302982193</v>
      </c>
      <c r="N13" s="26">
        <f t="shared" si="1"/>
        <v>14.866068747318506</v>
      </c>
      <c r="O13" s="26">
        <f t="shared" si="1"/>
        <v>15.620499351813308</v>
      </c>
      <c r="P13" s="26">
        <f t="shared" si="1"/>
        <v>13.45362404707371</v>
      </c>
      <c r="Q13" s="26">
        <f t="shared" si="1"/>
        <v>19.723082923316021</v>
      </c>
      <c r="R13" s="26">
        <f t="shared" si="1"/>
        <v>4.4721359549995796</v>
      </c>
      <c r="S13" s="26">
        <f t="shared" si="1"/>
        <v>10</v>
      </c>
      <c r="T13" s="26">
        <f t="shared" si="1"/>
        <v>15.811388300841896</v>
      </c>
      <c r="U13" s="26">
        <f t="shared" si="1"/>
        <v>6</v>
      </c>
      <c r="V13" s="26">
        <f t="shared" si="1"/>
        <v>5</v>
      </c>
      <c r="W13" s="19"/>
      <c r="X13" s="19"/>
      <c r="AE13" s="27">
        <f t="shared" ca="1" si="2"/>
        <v>11</v>
      </c>
      <c r="AF13" s="27">
        <f t="shared" ca="1" si="2"/>
        <v>13</v>
      </c>
    </row>
    <row r="14" spans="1:32" x14ac:dyDescent="0.25">
      <c r="A14" s="25">
        <v>4</v>
      </c>
      <c r="B14" s="25">
        <v>6</v>
      </c>
      <c r="C14" s="26">
        <f t="shared" si="0"/>
        <v>12.806248474865697</v>
      </c>
      <c r="D14" s="26">
        <f t="shared" si="0"/>
        <v>11.045361017187261</v>
      </c>
      <c r="E14" s="26">
        <f t="shared" si="0"/>
        <v>18.439088914585774</v>
      </c>
      <c r="F14" s="26">
        <f t="shared" si="0"/>
        <v>2.8284271247461903</v>
      </c>
      <c r="G14" s="26">
        <f t="shared" si="0"/>
        <v>2.8284271247461903</v>
      </c>
      <c r="H14" s="26">
        <f t="shared" si="0"/>
        <v>0</v>
      </c>
      <c r="I14" s="26">
        <f t="shared" si="0"/>
        <v>10.440306508910551</v>
      </c>
      <c r="J14" s="26">
        <f t="shared" si="0"/>
        <v>6.4031242374328485</v>
      </c>
      <c r="K14" s="26">
        <f t="shared" si="0"/>
        <v>5</v>
      </c>
      <c r="L14" s="26">
        <f t="shared" si="0"/>
        <v>9.4868329805051381</v>
      </c>
      <c r="M14" s="26">
        <f t="shared" si="1"/>
        <v>4.1231056256176606</v>
      </c>
      <c r="N14" s="26">
        <f t="shared" si="1"/>
        <v>12.041594578792296</v>
      </c>
      <c r="O14" s="26">
        <f t="shared" si="1"/>
        <v>12.806248474865697</v>
      </c>
      <c r="P14" s="26">
        <f t="shared" si="1"/>
        <v>10.63014581273465</v>
      </c>
      <c r="Q14" s="26">
        <f t="shared" si="1"/>
        <v>17</v>
      </c>
      <c r="R14" s="26">
        <f t="shared" si="1"/>
        <v>4.4721359549995796</v>
      </c>
      <c r="S14" s="26">
        <f t="shared" si="1"/>
        <v>8.2462112512353212</v>
      </c>
      <c r="T14" s="26">
        <f t="shared" si="1"/>
        <v>13.341664064126334</v>
      </c>
      <c r="U14" s="26">
        <f t="shared" si="1"/>
        <v>4.4721359549995796</v>
      </c>
      <c r="V14" s="26">
        <f t="shared" si="1"/>
        <v>3.6055512754639891</v>
      </c>
      <c r="W14" s="19"/>
      <c r="X14" s="19"/>
      <c r="AE14" s="27">
        <f t="shared" ca="1" si="2"/>
        <v>20</v>
      </c>
      <c r="AF14" s="27">
        <f t="shared" ca="1" si="2"/>
        <v>20</v>
      </c>
    </row>
    <row r="15" spans="1:32" x14ac:dyDescent="0.25">
      <c r="A15" s="25">
        <v>1</v>
      </c>
      <c r="B15" s="25">
        <v>16</v>
      </c>
      <c r="C15" s="26">
        <f t="shared" si="0"/>
        <v>13.152946437965905</v>
      </c>
      <c r="D15" s="26">
        <f t="shared" si="0"/>
        <v>17.804493814764857</v>
      </c>
      <c r="E15" s="26">
        <f t="shared" si="0"/>
        <v>15.524174696260024</v>
      </c>
      <c r="F15" s="26">
        <f t="shared" si="0"/>
        <v>8.0622577482985491</v>
      </c>
      <c r="G15" s="26">
        <f t="shared" si="0"/>
        <v>12.041594578792296</v>
      </c>
      <c r="H15" s="26">
        <f t="shared" si="0"/>
        <v>10.440306508910551</v>
      </c>
      <c r="I15" s="26">
        <f t="shared" si="0"/>
        <v>0</v>
      </c>
      <c r="J15" s="26">
        <f t="shared" si="0"/>
        <v>16.552945357246848</v>
      </c>
      <c r="K15" s="26">
        <f t="shared" si="0"/>
        <v>12.806248474865697</v>
      </c>
      <c r="L15" s="26">
        <f t="shared" si="0"/>
        <v>17.691806012954132</v>
      </c>
      <c r="M15" s="26">
        <f t="shared" si="1"/>
        <v>6.324555320336759</v>
      </c>
      <c r="N15" s="26">
        <f t="shared" si="1"/>
        <v>12.165525060596439</v>
      </c>
      <c r="O15" s="26">
        <f t="shared" si="1"/>
        <v>11</v>
      </c>
      <c r="P15" s="26">
        <f t="shared" si="1"/>
        <v>10.198039027185569</v>
      </c>
      <c r="Q15" s="26">
        <f t="shared" si="1"/>
        <v>18.110770276274835</v>
      </c>
      <c r="R15" s="26">
        <f t="shared" si="1"/>
        <v>14.866068747318506</v>
      </c>
      <c r="S15" s="26">
        <f t="shared" si="1"/>
        <v>2.2360679774997898</v>
      </c>
      <c r="T15" s="26">
        <f t="shared" si="1"/>
        <v>17.464249196572979</v>
      </c>
      <c r="U15" s="26">
        <f t="shared" si="1"/>
        <v>6.0827625302982193</v>
      </c>
      <c r="V15" s="26">
        <f t="shared" si="1"/>
        <v>7.0710678118654755</v>
      </c>
      <c r="W15" s="19"/>
      <c r="X15" s="19"/>
      <c r="AE15" s="27">
        <f t="shared" ca="1" si="2"/>
        <v>20</v>
      </c>
      <c r="AF15" s="27">
        <f t="shared" ca="1" si="2"/>
        <v>17</v>
      </c>
    </row>
    <row r="16" spans="1:32" x14ac:dyDescent="0.25">
      <c r="A16" s="25">
        <v>8</v>
      </c>
      <c r="B16" s="25">
        <v>1</v>
      </c>
      <c r="C16" s="26">
        <f t="shared" si="0"/>
        <v>14.317821063276353</v>
      </c>
      <c r="D16" s="26">
        <f t="shared" si="0"/>
        <v>8.0622577482985491</v>
      </c>
      <c r="E16" s="26">
        <f t="shared" si="0"/>
        <v>20.615528128088304</v>
      </c>
      <c r="F16" s="26">
        <f t="shared" si="0"/>
        <v>9.2195444572928871</v>
      </c>
      <c r="G16" s="26">
        <f t="shared" si="0"/>
        <v>6.7082039324993694</v>
      </c>
      <c r="H16" s="26">
        <f t="shared" si="0"/>
        <v>6.4031242374328485</v>
      </c>
      <c r="I16" s="26">
        <f t="shared" si="0"/>
        <v>16.552945357246848</v>
      </c>
      <c r="J16" s="26">
        <f t="shared" si="0"/>
        <v>0</v>
      </c>
      <c r="K16" s="26">
        <f t="shared" si="0"/>
        <v>5.0990195135927845</v>
      </c>
      <c r="L16" s="26">
        <f t="shared" si="0"/>
        <v>5.3851648071345037</v>
      </c>
      <c r="M16" s="26">
        <f t="shared" si="1"/>
        <v>10.295630140987001</v>
      </c>
      <c r="N16" s="26">
        <f t="shared" si="1"/>
        <v>13.928388277184119</v>
      </c>
      <c r="O16" s="26">
        <f t="shared" si="1"/>
        <v>15.524174696260024</v>
      </c>
      <c r="P16" s="26">
        <f t="shared" si="1"/>
        <v>13.341664064126334</v>
      </c>
      <c r="Q16" s="26">
        <f t="shared" si="1"/>
        <v>17.029386365926403</v>
      </c>
      <c r="R16" s="26">
        <f t="shared" si="1"/>
        <v>2.2360679774997898</v>
      </c>
      <c r="S16" s="26">
        <f t="shared" si="1"/>
        <v>14.317821063276353</v>
      </c>
      <c r="T16" s="26">
        <f t="shared" si="1"/>
        <v>12.041594578792296</v>
      </c>
      <c r="U16" s="26">
        <f t="shared" si="1"/>
        <v>10.816653826391969</v>
      </c>
      <c r="V16" s="26">
        <f t="shared" si="1"/>
        <v>10</v>
      </c>
      <c r="W16" s="19"/>
      <c r="X16" s="19"/>
      <c r="AE16" s="27">
        <f t="shared" ca="1" si="2"/>
        <v>18</v>
      </c>
      <c r="AF16" s="27">
        <f t="shared" ca="1" si="2"/>
        <v>1</v>
      </c>
    </row>
    <row r="17" spans="1:44" x14ac:dyDescent="0.25">
      <c r="A17" s="25">
        <v>9</v>
      </c>
      <c r="B17" s="25">
        <v>6</v>
      </c>
      <c r="C17" s="26">
        <f t="shared" si="0"/>
        <v>9.4339811320566032</v>
      </c>
      <c r="D17" s="26">
        <f t="shared" si="0"/>
        <v>6.0827625302982193</v>
      </c>
      <c r="E17" s="26">
        <f t="shared" si="0"/>
        <v>15.652475842498529</v>
      </c>
      <c r="F17" s="26">
        <f t="shared" si="0"/>
        <v>7.2801098892805181</v>
      </c>
      <c r="G17" s="26">
        <f t="shared" si="0"/>
        <v>7.2801098892805181</v>
      </c>
      <c r="H17" s="26">
        <f t="shared" si="0"/>
        <v>5</v>
      </c>
      <c r="I17" s="26">
        <f t="shared" si="0"/>
        <v>12.806248474865697</v>
      </c>
      <c r="J17" s="26">
        <f t="shared" si="0"/>
        <v>5.0990195135927845</v>
      </c>
      <c r="K17" s="26">
        <f t="shared" si="0"/>
        <v>0</v>
      </c>
      <c r="L17" s="26">
        <f t="shared" si="0"/>
        <v>5</v>
      </c>
      <c r="M17" s="26">
        <f t="shared" si="1"/>
        <v>7.2111025509279782</v>
      </c>
      <c r="N17" s="26">
        <f t="shared" si="1"/>
        <v>8.9442719099991592</v>
      </c>
      <c r="O17" s="26">
        <f t="shared" si="1"/>
        <v>10.440306508910551</v>
      </c>
      <c r="P17" s="26">
        <f t="shared" si="1"/>
        <v>8.2462112512353212</v>
      </c>
      <c r="Q17" s="26">
        <f t="shared" si="1"/>
        <v>12.806248474865697</v>
      </c>
      <c r="R17" s="26">
        <f t="shared" si="1"/>
        <v>5</v>
      </c>
      <c r="S17" s="26">
        <f t="shared" si="1"/>
        <v>10.63014581273465</v>
      </c>
      <c r="T17" s="26">
        <f t="shared" si="1"/>
        <v>8.5440037453175304</v>
      </c>
      <c r="U17" s="26">
        <f t="shared" si="1"/>
        <v>8.0622577482985491</v>
      </c>
      <c r="V17" s="26">
        <f t="shared" si="1"/>
        <v>7.6157731058639087</v>
      </c>
      <c r="W17" s="19"/>
      <c r="X17" s="19"/>
      <c r="AE17" s="27">
        <f t="shared" ca="1" si="2"/>
        <v>3</v>
      </c>
      <c r="AF17" s="27">
        <f t="shared" ca="1" si="2"/>
        <v>7</v>
      </c>
    </row>
    <row r="18" spans="1:44" x14ac:dyDescent="0.25">
      <c r="A18" s="25">
        <v>13</v>
      </c>
      <c r="B18" s="25">
        <v>3</v>
      </c>
      <c r="C18" s="26">
        <f t="shared" si="0"/>
        <v>11.045361017187261</v>
      </c>
      <c r="D18" s="26">
        <f t="shared" si="0"/>
        <v>2.8284271247461903</v>
      </c>
      <c r="E18" s="26">
        <f t="shared" si="0"/>
        <v>17.262676501632068</v>
      </c>
      <c r="F18" s="26">
        <f t="shared" si="0"/>
        <v>12.083045973594572</v>
      </c>
      <c r="G18" s="26">
        <f t="shared" si="0"/>
        <v>11.045361017187261</v>
      </c>
      <c r="H18" s="26">
        <f t="shared" si="0"/>
        <v>9.4868329805051381</v>
      </c>
      <c r="I18" s="26">
        <f t="shared" si="0"/>
        <v>17.691806012954132</v>
      </c>
      <c r="J18" s="26">
        <f t="shared" si="0"/>
        <v>5.3851648071345037</v>
      </c>
      <c r="K18" s="26">
        <f t="shared" si="0"/>
        <v>5</v>
      </c>
      <c r="L18" s="26">
        <f t="shared" si="0"/>
        <v>0</v>
      </c>
      <c r="M18" s="26">
        <f t="shared" si="1"/>
        <v>12.206555615733702</v>
      </c>
      <c r="N18" s="26">
        <f t="shared" si="1"/>
        <v>11</v>
      </c>
      <c r="O18" s="26">
        <f t="shared" si="1"/>
        <v>13.038404810405298</v>
      </c>
      <c r="P18" s="26">
        <f t="shared" si="1"/>
        <v>11.180339887498949</v>
      </c>
      <c r="Q18" s="26">
        <f t="shared" si="1"/>
        <v>12.529964086141668</v>
      </c>
      <c r="R18" s="26">
        <f t="shared" si="1"/>
        <v>7.0710678118654755</v>
      </c>
      <c r="S18" s="26">
        <f t="shared" si="1"/>
        <v>15.556349186104045</v>
      </c>
      <c r="T18" s="26">
        <f t="shared" si="1"/>
        <v>7.2111025509279782</v>
      </c>
      <c r="U18" s="26">
        <f t="shared" si="1"/>
        <v>13.038404810405298</v>
      </c>
      <c r="V18" s="26">
        <f t="shared" si="1"/>
        <v>12.529964086141668</v>
      </c>
      <c r="W18" s="19"/>
      <c r="X18" s="19"/>
      <c r="AE18" s="27">
        <f t="shared" ca="1" si="2"/>
        <v>20</v>
      </c>
      <c r="AF18" s="27">
        <f t="shared" ca="1" si="2"/>
        <v>2</v>
      </c>
    </row>
    <row r="19" spans="1:44" x14ac:dyDescent="0.25">
      <c r="A19" s="25">
        <v>3</v>
      </c>
      <c r="B19" s="25">
        <v>10</v>
      </c>
      <c r="C19" s="26">
        <f t="shared" ref="C19:L28" si="3">SQRT((C$7-$A19)^2+($B19-C$8)^2)</f>
        <v>11.704699910719626</v>
      </c>
      <c r="D19" s="26">
        <f t="shared" si="3"/>
        <v>13</v>
      </c>
      <c r="E19" s="26">
        <f t="shared" si="3"/>
        <v>16.401219466856727</v>
      </c>
      <c r="F19" s="26">
        <f t="shared" si="3"/>
        <v>2.2360679774997898</v>
      </c>
      <c r="G19" s="26">
        <f t="shared" si="3"/>
        <v>6.0827625302982193</v>
      </c>
      <c r="H19" s="26">
        <f t="shared" si="3"/>
        <v>4.1231056256176606</v>
      </c>
      <c r="I19" s="26">
        <f t="shared" si="3"/>
        <v>6.324555320336759</v>
      </c>
      <c r="J19" s="26">
        <f t="shared" si="3"/>
        <v>10.295630140987001</v>
      </c>
      <c r="K19" s="26">
        <f t="shared" si="3"/>
        <v>7.2111025509279782</v>
      </c>
      <c r="L19" s="26">
        <f t="shared" si="3"/>
        <v>12.206555615733702</v>
      </c>
      <c r="M19" s="26">
        <f t="shared" ref="M19:V28" si="4">SQRT((M$7-$A19)^2+($B19-M$8)^2)</f>
        <v>0</v>
      </c>
      <c r="N19" s="26">
        <f t="shared" si="4"/>
        <v>10.770329614269007</v>
      </c>
      <c r="O19" s="26">
        <f t="shared" si="4"/>
        <v>10.816653826391969</v>
      </c>
      <c r="P19" s="26">
        <f t="shared" si="4"/>
        <v>8.9442719099991592</v>
      </c>
      <c r="Q19" s="26">
        <f t="shared" si="4"/>
        <v>16.492422502470642</v>
      </c>
      <c r="R19" s="26">
        <f t="shared" si="4"/>
        <v>8.5440037453175304</v>
      </c>
      <c r="S19" s="26">
        <f t="shared" si="4"/>
        <v>4.1231056256176606</v>
      </c>
      <c r="T19" s="26">
        <f t="shared" si="4"/>
        <v>14.035668847618199</v>
      </c>
      <c r="U19" s="26">
        <f t="shared" si="4"/>
        <v>1</v>
      </c>
      <c r="V19" s="26">
        <f t="shared" si="4"/>
        <v>1.4142135623730951</v>
      </c>
      <c r="W19" s="19"/>
      <c r="X19" s="19"/>
      <c r="AE19" s="27">
        <f t="shared" ca="1" si="2"/>
        <v>7</v>
      </c>
      <c r="AF19" s="27">
        <f t="shared" ca="1" si="2"/>
        <v>7</v>
      </c>
    </row>
    <row r="20" spans="1:44" x14ac:dyDescent="0.25">
      <c r="A20" s="25">
        <v>13</v>
      </c>
      <c r="B20" s="25">
        <v>14</v>
      </c>
      <c r="C20" s="26">
        <f t="shared" si="3"/>
        <v>1</v>
      </c>
      <c r="D20" s="26">
        <f t="shared" si="3"/>
        <v>9.2195444572928871</v>
      </c>
      <c r="E20" s="26">
        <f t="shared" si="3"/>
        <v>6.7082039324993694</v>
      </c>
      <c r="F20" s="26">
        <f t="shared" si="3"/>
        <v>12.529964086141668</v>
      </c>
      <c r="G20" s="26">
        <f t="shared" si="3"/>
        <v>14.866068747318506</v>
      </c>
      <c r="H20" s="26">
        <f t="shared" si="3"/>
        <v>12.041594578792296</v>
      </c>
      <c r="I20" s="26">
        <f t="shared" si="3"/>
        <v>12.165525060596439</v>
      </c>
      <c r="J20" s="26">
        <f t="shared" si="3"/>
        <v>13.928388277184119</v>
      </c>
      <c r="K20" s="26">
        <f t="shared" si="3"/>
        <v>8.9442719099991592</v>
      </c>
      <c r="L20" s="26">
        <f t="shared" si="3"/>
        <v>11</v>
      </c>
      <c r="M20" s="26">
        <f t="shared" si="4"/>
        <v>10.770329614269007</v>
      </c>
      <c r="N20" s="26">
        <f t="shared" si="4"/>
        <v>0</v>
      </c>
      <c r="O20" s="26">
        <f t="shared" si="4"/>
        <v>2.2360679774997898</v>
      </c>
      <c r="P20" s="26">
        <f t="shared" si="4"/>
        <v>2</v>
      </c>
      <c r="Q20" s="26">
        <f t="shared" si="4"/>
        <v>6</v>
      </c>
      <c r="R20" s="26">
        <f t="shared" si="4"/>
        <v>13.892443989449804</v>
      </c>
      <c r="S20" s="26">
        <f t="shared" si="4"/>
        <v>11</v>
      </c>
      <c r="T20" s="26">
        <f t="shared" si="4"/>
        <v>6.4031242374328485</v>
      </c>
      <c r="U20" s="26">
        <f t="shared" si="4"/>
        <v>11.704699910719626</v>
      </c>
      <c r="V20" s="26">
        <f t="shared" si="4"/>
        <v>12.083045973594572</v>
      </c>
      <c r="W20" s="19"/>
      <c r="X20" s="19"/>
      <c r="AE20" s="27">
        <f t="shared" ca="1" si="2"/>
        <v>3</v>
      </c>
      <c r="AF20" s="27">
        <f t="shared" ca="1" si="2"/>
        <v>1</v>
      </c>
    </row>
    <row r="21" spans="1:44" x14ac:dyDescent="0.25">
      <c r="A21" s="25">
        <v>12</v>
      </c>
      <c r="B21" s="25">
        <v>16</v>
      </c>
      <c r="C21" s="26">
        <f t="shared" si="3"/>
        <v>2.8284271247461903</v>
      </c>
      <c r="D21" s="26">
        <f t="shared" si="3"/>
        <v>11.401754250991379</v>
      </c>
      <c r="E21" s="26">
        <f t="shared" si="3"/>
        <v>5.6568542494923806</v>
      </c>
      <c r="F21" s="26">
        <f t="shared" si="3"/>
        <v>12.806248474865697</v>
      </c>
      <c r="G21" s="26">
        <f t="shared" si="3"/>
        <v>15.620499351813308</v>
      </c>
      <c r="H21" s="26">
        <f t="shared" si="3"/>
        <v>12.806248474865697</v>
      </c>
      <c r="I21" s="26">
        <f t="shared" si="3"/>
        <v>11</v>
      </c>
      <c r="J21" s="26">
        <f t="shared" si="3"/>
        <v>15.524174696260024</v>
      </c>
      <c r="K21" s="26">
        <f t="shared" si="3"/>
        <v>10.440306508910551</v>
      </c>
      <c r="L21" s="26">
        <f t="shared" si="3"/>
        <v>13.038404810405298</v>
      </c>
      <c r="M21" s="26">
        <f t="shared" si="4"/>
        <v>10.816653826391969</v>
      </c>
      <c r="N21" s="26">
        <f t="shared" si="4"/>
        <v>2.2360679774997898</v>
      </c>
      <c r="O21" s="26">
        <f t="shared" si="4"/>
        <v>0</v>
      </c>
      <c r="P21" s="26">
        <f t="shared" si="4"/>
        <v>2.2360679774997898</v>
      </c>
      <c r="Q21" s="26">
        <f t="shared" si="4"/>
        <v>7.2801098892805181</v>
      </c>
      <c r="R21" s="26">
        <f t="shared" si="4"/>
        <v>15.231546211727817</v>
      </c>
      <c r="S21" s="26">
        <f t="shared" si="4"/>
        <v>10.198039027185569</v>
      </c>
      <c r="T21" s="26">
        <f t="shared" si="4"/>
        <v>8.6023252670426267</v>
      </c>
      <c r="U21" s="26">
        <f t="shared" si="4"/>
        <v>11.661903789690601</v>
      </c>
      <c r="V21" s="26">
        <f t="shared" si="4"/>
        <v>12.206555615733702</v>
      </c>
      <c r="W21" s="19"/>
      <c r="X21" s="19"/>
      <c r="AE21" s="27">
        <f t="shared" ca="1" si="2"/>
        <v>19</v>
      </c>
      <c r="AF21" s="27">
        <f t="shared" ca="1" si="2"/>
        <v>17</v>
      </c>
    </row>
    <row r="22" spans="1:44" x14ac:dyDescent="0.25">
      <c r="A22" s="25">
        <v>11</v>
      </c>
      <c r="B22" s="25">
        <v>14</v>
      </c>
      <c r="C22" s="26">
        <f t="shared" si="3"/>
        <v>3</v>
      </c>
      <c r="D22" s="26">
        <f t="shared" si="3"/>
        <v>9.8488578017961039</v>
      </c>
      <c r="E22" s="26">
        <f t="shared" si="3"/>
        <v>7.810249675906654</v>
      </c>
      <c r="F22" s="26">
        <f t="shared" si="3"/>
        <v>10.816653826391969</v>
      </c>
      <c r="G22" s="26">
        <f t="shared" si="3"/>
        <v>13.45362404707371</v>
      </c>
      <c r="H22" s="26">
        <f t="shared" si="3"/>
        <v>10.63014581273465</v>
      </c>
      <c r="I22" s="26">
        <f t="shared" si="3"/>
        <v>10.198039027185569</v>
      </c>
      <c r="J22" s="26">
        <f t="shared" si="3"/>
        <v>13.341664064126334</v>
      </c>
      <c r="K22" s="26">
        <f t="shared" si="3"/>
        <v>8.2462112512353212</v>
      </c>
      <c r="L22" s="26">
        <f t="shared" si="3"/>
        <v>11.180339887498949</v>
      </c>
      <c r="M22" s="26">
        <f t="shared" si="4"/>
        <v>8.9442719099991592</v>
      </c>
      <c r="N22" s="26">
        <f t="shared" si="4"/>
        <v>2</v>
      </c>
      <c r="O22" s="26">
        <f t="shared" si="4"/>
        <v>2.2360679774997898</v>
      </c>
      <c r="P22" s="26">
        <f t="shared" si="4"/>
        <v>0</v>
      </c>
      <c r="Q22" s="26">
        <f t="shared" si="4"/>
        <v>8</v>
      </c>
      <c r="R22" s="26">
        <f t="shared" si="4"/>
        <v>13</v>
      </c>
      <c r="S22" s="26">
        <f t="shared" si="4"/>
        <v>9</v>
      </c>
      <c r="T22" s="26">
        <f t="shared" si="4"/>
        <v>7.810249675906654</v>
      </c>
      <c r="U22" s="26">
        <f t="shared" si="4"/>
        <v>9.8488578017961039</v>
      </c>
      <c r="V22" s="26">
        <f t="shared" si="4"/>
        <v>10.295630140987001</v>
      </c>
      <c r="W22" s="19"/>
      <c r="X22" s="19"/>
      <c r="AE22" s="27">
        <f t="shared" ca="1" si="2"/>
        <v>13</v>
      </c>
      <c r="AF22" s="27">
        <f t="shared" ca="1" si="2"/>
        <v>20</v>
      </c>
    </row>
    <row r="23" spans="1:44" x14ac:dyDescent="0.25">
      <c r="A23" s="25">
        <v>19</v>
      </c>
      <c r="B23" s="25">
        <v>14</v>
      </c>
      <c r="C23" s="26">
        <f t="shared" si="3"/>
        <v>5</v>
      </c>
      <c r="D23" s="26">
        <f t="shared" si="3"/>
        <v>9.8488578017961039</v>
      </c>
      <c r="E23" s="26">
        <f t="shared" si="3"/>
        <v>6.7082039324993694</v>
      </c>
      <c r="F23" s="26">
        <f t="shared" si="3"/>
        <v>18.027756377319946</v>
      </c>
      <c r="G23" s="26">
        <f t="shared" si="3"/>
        <v>19.723082923316021</v>
      </c>
      <c r="H23" s="26">
        <f t="shared" si="3"/>
        <v>17</v>
      </c>
      <c r="I23" s="26">
        <f t="shared" si="3"/>
        <v>18.110770276274835</v>
      </c>
      <c r="J23" s="26">
        <f t="shared" si="3"/>
        <v>17.029386365926403</v>
      </c>
      <c r="K23" s="26">
        <f t="shared" si="3"/>
        <v>12.806248474865697</v>
      </c>
      <c r="L23" s="26">
        <f t="shared" si="3"/>
        <v>12.529964086141668</v>
      </c>
      <c r="M23" s="26">
        <f t="shared" si="4"/>
        <v>16.492422502470642</v>
      </c>
      <c r="N23" s="26">
        <f t="shared" si="4"/>
        <v>6</v>
      </c>
      <c r="O23" s="26">
        <f t="shared" si="4"/>
        <v>7.2801098892805181</v>
      </c>
      <c r="P23" s="26">
        <f t="shared" si="4"/>
        <v>8</v>
      </c>
      <c r="Q23" s="26">
        <f t="shared" si="4"/>
        <v>0</v>
      </c>
      <c r="R23" s="26">
        <f t="shared" si="4"/>
        <v>17.691806012954132</v>
      </c>
      <c r="S23" s="26">
        <f t="shared" si="4"/>
        <v>17</v>
      </c>
      <c r="T23" s="26">
        <f t="shared" si="4"/>
        <v>5.3851648071345037</v>
      </c>
      <c r="U23" s="26">
        <f t="shared" si="4"/>
        <v>17.464249196572979</v>
      </c>
      <c r="V23" s="26">
        <f t="shared" si="4"/>
        <v>17.720045146669349</v>
      </c>
      <c r="W23" s="19"/>
      <c r="X23" s="19"/>
      <c r="AE23" s="27">
        <f t="shared" ca="1" si="2"/>
        <v>19</v>
      </c>
      <c r="AF23" s="27">
        <f t="shared" ca="1" si="2"/>
        <v>14</v>
      </c>
    </row>
    <row r="24" spans="1:44" x14ac:dyDescent="0.25">
      <c r="A24" s="25">
        <v>6</v>
      </c>
      <c r="B24" s="25">
        <v>2</v>
      </c>
      <c r="C24" s="26">
        <f t="shared" si="3"/>
        <v>14.422205101855956</v>
      </c>
      <c r="D24" s="26">
        <f t="shared" si="3"/>
        <v>9.4868329805051381</v>
      </c>
      <c r="E24" s="26">
        <f t="shared" si="3"/>
        <v>20.591260281974002</v>
      </c>
      <c r="F24" s="26">
        <f t="shared" si="3"/>
        <v>7.2111025509279782</v>
      </c>
      <c r="G24" s="26">
        <f t="shared" si="3"/>
        <v>4.4721359549995796</v>
      </c>
      <c r="H24" s="26">
        <f t="shared" si="3"/>
        <v>4.4721359549995796</v>
      </c>
      <c r="I24" s="26">
        <f t="shared" si="3"/>
        <v>14.866068747318506</v>
      </c>
      <c r="J24" s="26">
        <f t="shared" si="3"/>
        <v>2.2360679774997898</v>
      </c>
      <c r="K24" s="26">
        <f t="shared" si="3"/>
        <v>5</v>
      </c>
      <c r="L24" s="26">
        <f t="shared" si="3"/>
        <v>7.0710678118654755</v>
      </c>
      <c r="M24" s="26">
        <f t="shared" si="4"/>
        <v>8.5440037453175304</v>
      </c>
      <c r="N24" s="26">
        <f t="shared" si="4"/>
        <v>13.892443989449804</v>
      </c>
      <c r="O24" s="26">
        <f t="shared" si="4"/>
        <v>15.231546211727817</v>
      </c>
      <c r="P24" s="26">
        <f t="shared" si="4"/>
        <v>13</v>
      </c>
      <c r="Q24" s="26">
        <f t="shared" si="4"/>
        <v>17.691806012954132</v>
      </c>
      <c r="R24" s="26">
        <f t="shared" si="4"/>
        <v>0</v>
      </c>
      <c r="S24" s="26">
        <f t="shared" si="4"/>
        <v>12.649110640673518</v>
      </c>
      <c r="T24" s="26">
        <f t="shared" si="4"/>
        <v>13.038404810405298</v>
      </c>
      <c r="U24" s="26">
        <f t="shared" si="4"/>
        <v>8.9442719099991592</v>
      </c>
      <c r="V24" s="26">
        <f t="shared" si="4"/>
        <v>8.0622577482985491</v>
      </c>
      <c r="W24" s="19"/>
      <c r="X24" s="19"/>
      <c r="AE24" s="27">
        <f t="shared" ca="1" si="2"/>
        <v>8</v>
      </c>
      <c r="AF24" s="27">
        <f t="shared" ca="1" si="2"/>
        <v>14</v>
      </c>
    </row>
    <row r="25" spans="1:44" x14ac:dyDescent="0.25">
      <c r="A25" s="25">
        <v>2</v>
      </c>
      <c r="B25" s="25">
        <v>14</v>
      </c>
      <c r="C25" s="26">
        <f t="shared" si="3"/>
        <v>12</v>
      </c>
      <c r="D25" s="26">
        <f t="shared" si="3"/>
        <v>15.811388300841896</v>
      </c>
      <c r="E25" s="26">
        <f t="shared" si="3"/>
        <v>15.231546211727817</v>
      </c>
      <c r="F25" s="26">
        <f t="shared" si="3"/>
        <v>6</v>
      </c>
      <c r="G25" s="26">
        <f t="shared" si="3"/>
        <v>10</v>
      </c>
      <c r="H25" s="26">
        <f t="shared" si="3"/>
        <v>8.2462112512353212</v>
      </c>
      <c r="I25" s="26">
        <f t="shared" si="3"/>
        <v>2.2360679774997898</v>
      </c>
      <c r="J25" s="26">
        <f t="shared" si="3"/>
        <v>14.317821063276353</v>
      </c>
      <c r="K25" s="26">
        <f t="shared" si="3"/>
        <v>10.63014581273465</v>
      </c>
      <c r="L25" s="26">
        <f t="shared" si="3"/>
        <v>15.556349186104045</v>
      </c>
      <c r="M25" s="26">
        <f t="shared" si="4"/>
        <v>4.1231056256176606</v>
      </c>
      <c r="N25" s="26">
        <f t="shared" si="4"/>
        <v>11</v>
      </c>
      <c r="O25" s="26">
        <f t="shared" si="4"/>
        <v>10.198039027185569</v>
      </c>
      <c r="P25" s="26">
        <f t="shared" si="4"/>
        <v>9</v>
      </c>
      <c r="Q25" s="26">
        <f t="shared" si="4"/>
        <v>17</v>
      </c>
      <c r="R25" s="26">
        <f t="shared" si="4"/>
        <v>12.649110640673518</v>
      </c>
      <c r="S25" s="26">
        <f t="shared" si="4"/>
        <v>0</v>
      </c>
      <c r="T25" s="26">
        <f t="shared" si="4"/>
        <v>15.811388300841896</v>
      </c>
      <c r="U25" s="26">
        <f t="shared" si="4"/>
        <v>4</v>
      </c>
      <c r="V25" s="26">
        <f t="shared" si="4"/>
        <v>5</v>
      </c>
      <c r="W25" s="19"/>
      <c r="X25" s="19"/>
      <c r="AE25" s="27">
        <f t="shared" ca="1" si="2"/>
        <v>9</v>
      </c>
      <c r="AF25" s="27">
        <f t="shared" ca="1" si="2"/>
        <v>11</v>
      </c>
    </row>
    <row r="26" spans="1:44" x14ac:dyDescent="0.25">
      <c r="A26" s="25">
        <v>17</v>
      </c>
      <c r="B26" s="25">
        <v>9</v>
      </c>
      <c r="C26" s="26">
        <f t="shared" si="3"/>
        <v>5.8309518948453007</v>
      </c>
      <c r="D26" s="26">
        <f t="shared" si="3"/>
        <v>4.4721359549995796</v>
      </c>
      <c r="E26" s="26">
        <f t="shared" si="3"/>
        <v>11.045361017187261</v>
      </c>
      <c r="F26" s="26">
        <f t="shared" si="3"/>
        <v>15.033296378372908</v>
      </c>
      <c r="G26" s="26">
        <f t="shared" si="3"/>
        <v>15.811388300841896</v>
      </c>
      <c r="H26" s="26">
        <f t="shared" si="3"/>
        <v>13.341664064126334</v>
      </c>
      <c r="I26" s="26">
        <f t="shared" si="3"/>
        <v>17.464249196572979</v>
      </c>
      <c r="J26" s="26">
        <f t="shared" si="3"/>
        <v>12.041594578792296</v>
      </c>
      <c r="K26" s="26">
        <f t="shared" si="3"/>
        <v>8.5440037453175304</v>
      </c>
      <c r="L26" s="26">
        <f t="shared" si="3"/>
        <v>7.2111025509279782</v>
      </c>
      <c r="M26" s="26">
        <f t="shared" si="4"/>
        <v>14.035668847618199</v>
      </c>
      <c r="N26" s="26">
        <f t="shared" si="4"/>
        <v>6.4031242374328485</v>
      </c>
      <c r="O26" s="26">
        <f t="shared" si="4"/>
        <v>8.6023252670426267</v>
      </c>
      <c r="P26" s="26">
        <f t="shared" si="4"/>
        <v>7.810249675906654</v>
      </c>
      <c r="Q26" s="26">
        <f t="shared" si="4"/>
        <v>5.3851648071345037</v>
      </c>
      <c r="R26" s="26">
        <f t="shared" si="4"/>
        <v>13.038404810405298</v>
      </c>
      <c r="S26" s="26">
        <f t="shared" si="4"/>
        <v>15.811388300841896</v>
      </c>
      <c r="T26" s="26">
        <f t="shared" si="4"/>
        <v>0</v>
      </c>
      <c r="U26" s="26">
        <f t="shared" si="4"/>
        <v>15.033296378372908</v>
      </c>
      <c r="V26" s="26">
        <f t="shared" si="4"/>
        <v>15</v>
      </c>
      <c r="W26" s="19"/>
      <c r="X26" s="19"/>
      <c r="AE26" s="27">
        <f t="shared" ca="1" si="2"/>
        <v>8</v>
      </c>
      <c r="AF26" s="27">
        <f t="shared" ca="1" si="2"/>
        <v>16</v>
      </c>
    </row>
    <row r="27" spans="1:44" x14ac:dyDescent="0.25">
      <c r="A27" s="25">
        <v>2</v>
      </c>
      <c r="B27" s="25">
        <v>10</v>
      </c>
      <c r="C27" s="26">
        <f t="shared" si="3"/>
        <v>12.649110640673518</v>
      </c>
      <c r="D27" s="26">
        <f t="shared" si="3"/>
        <v>13.928388277184119</v>
      </c>
      <c r="E27" s="26">
        <f t="shared" si="3"/>
        <v>17.204650534085253</v>
      </c>
      <c r="F27" s="26">
        <f t="shared" si="3"/>
        <v>2</v>
      </c>
      <c r="G27" s="26">
        <f t="shared" si="3"/>
        <v>6</v>
      </c>
      <c r="H27" s="26">
        <f t="shared" si="3"/>
        <v>4.4721359549995796</v>
      </c>
      <c r="I27" s="26">
        <f t="shared" si="3"/>
        <v>6.0827625302982193</v>
      </c>
      <c r="J27" s="26">
        <f t="shared" si="3"/>
        <v>10.816653826391969</v>
      </c>
      <c r="K27" s="26">
        <f t="shared" si="3"/>
        <v>8.0622577482985491</v>
      </c>
      <c r="L27" s="26">
        <f t="shared" si="3"/>
        <v>13.038404810405298</v>
      </c>
      <c r="M27" s="26">
        <f t="shared" si="4"/>
        <v>1</v>
      </c>
      <c r="N27" s="26">
        <f t="shared" si="4"/>
        <v>11.704699910719626</v>
      </c>
      <c r="O27" s="26">
        <f t="shared" si="4"/>
        <v>11.661903789690601</v>
      </c>
      <c r="P27" s="26">
        <f t="shared" si="4"/>
        <v>9.8488578017961039</v>
      </c>
      <c r="Q27" s="26">
        <f t="shared" si="4"/>
        <v>17.464249196572979</v>
      </c>
      <c r="R27" s="26">
        <f t="shared" si="4"/>
        <v>8.9442719099991592</v>
      </c>
      <c r="S27" s="26">
        <f t="shared" si="4"/>
        <v>4</v>
      </c>
      <c r="T27" s="26">
        <f t="shared" si="4"/>
        <v>15.033296378372908</v>
      </c>
      <c r="U27" s="26">
        <f t="shared" si="4"/>
        <v>0</v>
      </c>
      <c r="V27" s="26">
        <f t="shared" si="4"/>
        <v>1</v>
      </c>
      <c r="W27" s="19"/>
      <c r="X27" s="19"/>
      <c r="AE27" s="27">
        <f t="shared" ca="1" si="2"/>
        <v>8</v>
      </c>
      <c r="AF27" s="27">
        <f t="shared" ca="1" si="2"/>
        <v>9</v>
      </c>
    </row>
    <row r="28" spans="1:44" x14ac:dyDescent="0.25">
      <c r="A28" s="25">
        <v>2</v>
      </c>
      <c r="B28" s="25">
        <v>9</v>
      </c>
      <c r="C28" s="26">
        <f t="shared" si="3"/>
        <v>13</v>
      </c>
      <c r="D28" s="26">
        <f t="shared" si="3"/>
        <v>13.601470508735444</v>
      </c>
      <c r="E28" s="26">
        <f t="shared" si="3"/>
        <v>17.804493814764857</v>
      </c>
      <c r="F28" s="26">
        <f t="shared" si="3"/>
        <v>1</v>
      </c>
      <c r="G28" s="26">
        <f t="shared" si="3"/>
        <v>5</v>
      </c>
      <c r="H28" s="26">
        <f t="shared" si="3"/>
        <v>3.6055512754639891</v>
      </c>
      <c r="I28" s="26">
        <f t="shared" si="3"/>
        <v>7.0710678118654755</v>
      </c>
      <c r="J28" s="26">
        <f t="shared" si="3"/>
        <v>10</v>
      </c>
      <c r="K28" s="26">
        <f t="shared" si="3"/>
        <v>7.6157731058639087</v>
      </c>
      <c r="L28" s="26">
        <f t="shared" si="3"/>
        <v>12.529964086141668</v>
      </c>
      <c r="M28" s="26">
        <f t="shared" si="4"/>
        <v>1.4142135623730951</v>
      </c>
      <c r="N28" s="26">
        <f t="shared" si="4"/>
        <v>12.083045973594572</v>
      </c>
      <c r="O28" s="26">
        <f t="shared" si="4"/>
        <v>12.206555615733702</v>
      </c>
      <c r="P28" s="26">
        <f t="shared" si="4"/>
        <v>10.295630140987001</v>
      </c>
      <c r="Q28" s="26">
        <f t="shared" si="4"/>
        <v>17.720045146669349</v>
      </c>
      <c r="R28" s="26">
        <f t="shared" si="4"/>
        <v>8.0622577482985491</v>
      </c>
      <c r="S28" s="26">
        <f t="shared" si="4"/>
        <v>5</v>
      </c>
      <c r="T28" s="26">
        <f t="shared" si="4"/>
        <v>15</v>
      </c>
      <c r="U28" s="26">
        <f t="shared" si="4"/>
        <v>1</v>
      </c>
      <c r="V28" s="26">
        <f t="shared" si="4"/>
        <v>0</v>
      </c>
      <c r="W28" s="19" t="s">
        <v>6</v>
      </c>
      <c r="X28" s="19">
        <f>SUM(C9:V28)</f>
        <v>3944.0722662952126</v>
      </c>
      <c r="AE28" s="27">
        <f ca="1">RANDBETWEEN(1,20)</f>
        <v>16</v>
      </c>
      <c r="AF28" s="27">
        <f ca="1">RANDBETWEEN(1,20)</f>
        <v>20</v>
      </c>
    </row>
    <row r="29" spans="1:44" x14ac:dyDescent="0.25">
      <c r="W29" s="19"/>
      <c r="X29" s="19"/>
      <c r="AJ29" s="20" t="str">
        <f>AC1</f>
        <v>%</v>
      </c>
    </row>
    <row r="30" spans="1:44" x14ac:dyDescent="0.25">
      <c r="W30" s="19"/>
      <c r="X30" s="19"/>
      <c r="AJ30" s="28">
        <f>AC2</f>
        <v>1.0605714285714285</v>
      </c>
    </row>
    <row r="31" spans="1:44" x14ac:dyDescent="0.25">
      <c r="A31" s="19" t="s">
        <v>21</v>
      </c>
      <c r="C31" s="20">
        <v>1</v>
      </c>
      <c r="D31" s="20">
        <v>2</v>
      </c>
      <c r="E31" s="20">
        <v>3</v>
      </c>
      <c r="F31" s="20">
        <v>4</v>
      </c>
      <c r="G31" s="20">
        <v>5</v>
      </c>
      <c r="H31" s="20">
        <v>6</v>
      </c>
      <c r="I31" s="20">
        <v>7</v>
      </c>
      <c r="J31" s="20">
        <v>8</v>
      </c>
      <c r="K31" s="20">
        <v>9</v>
      </c>
      <c r="L31" s="20">
        <v>10</v>
      </c>
      <c r="M31" s="20">
        <v>11</v>
      </c>
      <c r="N31" s="20">
        <v>12</v>
      </c>
      <c r="O31" s="20">
        <v>13</v>
      </c>
      <c r="P31" s="20">
        <v>14</v>
      </c>
      <c r="Q31" s="20">
        <v>15</v>
      </c>
      <c r="R31" s="20">
        <v>16</v>
      </c>
      <c r="S31" s="20">
        <v>17</v>
      </c>
      <c r="T31" s="20">
        <v>18</v>
      </c>
      <c r="U31" s="20">
        <v>19</v>
      </c>
      <c r="V31" s="20">
        <v>20</v>
      </c>
      <c r="W31" s="19"/>
      <c r="X31" s="19"/>
    </row>
    <row r="32" spans="1:44" x14ac:dyDescent="0.25">
      <c r="A32" s="19">
        <f>SUM(C32:V32)</f>
        <v>1</v>
      </c>
      <c r="B32" s="19">
        <v>1</v>
      </c>
      <c r="C32" s="20">
        <v>0</v>
      </c>
      <c r="D32" s="20">
        <v>1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0</v>
      </c>
      <c r="Q32" s="20">
        <v>0</v>
      </c>
      <c r="R32" s="20">
        <v>0</v>
      </c>
      <c r="S32" s="20">
        <v>0</v>
      </c>
      <c r="T32" s="20">
        <v>0</v>
      </c>
      <c r="U32" s="20">
        <v>0</v>
      </c>
      <c r="V32" s="20">
        <v>0</v>
      </c>
      <c r="W32" s="19"/>
      <c r="X32" s="19"/>
      <c r="Y32" s="20">
        <v>0</v>
      </c>
      <c r="Z32" s="20">
        <v>1</v>
      </c>
      <c r="AA32" s="20">
        <v>0</v>
      </c>
      <c r="AB32" s="20">
        <v>1</v>
      </c>
      <c r="AC32" s="20">
        <v>0</v>
      </c>
      <c r="AD32" s="20">
        <v>0</v>
      </c>
      <c r="AE32" s="20">
        <v>0</v>
      </c>
      <c r="AF32" s="20">
        <v>0</v>
      </c>
      <c r="AG32" s="20">
        <v>0</v>
      </c>
      <c r="AH32" s="20">
        <v>1</v>
      </c>
      <c r="AI32" s="20">
        <v>0</v>
      </c>
      <c r="AJ32" s="20">
        <v>1</v>
      </c>
      <c r="AK32" s="20">
        <v>0</v>
      </c>
      <c r="AL32" s="20">
        <v>1</v>
      </c>
      <c r="AM32" s="20">
        <v>1</v>
      </c>
      <c r="AN32" s="20">
        <v>1</v>
      </c>
      <c r="AO32" s="20">
        <v>1</v>
      </c>
      <c r="AP32" s="20">
        <v>1</v>
      </c>
      <c r="AQ32" s="20">
        <v>0</v>
      </c>
      <c r="AR32" s="20">
        <v>1</v>
      </c>
    </row>
    <row r="33" spans="1:44" x14ac:dyDescent="0.25">
      <c r="A33" s="19">
        <f t="shared" ref="A33:A51" si="5">SUM(C33:V33)</f>
        <v>1</v>
      </c>
      <c r="B33" s="19">
        <v>2</v>
      </c>
      <c r="C33" s="20">
        <v>0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1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19"/>
      <c r="X33" s="19"/>
      <c r="Y33" s="20">
        <v>1</v>
      </c>
      <c r="Z33" s="20">
        <v>1</v>
      </c>
      <c r="AA33" s="20">
        <v>0</v>
      </c>
      <c r="AB33" s="20">
        <v>1</v>
      </c>
      <c r="AC33" s="20">
        <v>1</v>
      </c>
      <c r="AD33" s="20">
        <v>1</v>
      </c>
      <c r="AE33" s="20">
        <v>1</v>
      </c>
      <c r="AF33" s="20">
        <v>1</v>
      </c>
      <c r="AG33" s="20">
        <v>1</v>
      </c>
      <c r="AH33" s="20">
        <v>0</v>
      </c>
      <c r="AI33" s="20">
        <v>1</v>
      </c>
      <c r="AJ33" s="20">
        <v>1</v>
      </c>
      <c r="AK33" s="20">
        <v>0</v>
      </c>
      <c r="AL33" s="20">
        <v>0</v>
      </c>
      <c r="AM33" s="20">
        <v>0</v>
      </c>
      <c r="AN33" s="20">
        <v>1</v>
      </c>
      <c r="AO33" s="20">
        <v>1</v>
      </c>
      <c r="AP33" s="20">
        <v>0</v>
      </c>
      <c r="AQ33" s="20">
        <v>1</v>
      </c>
      <c r="AR33" s="20">
        <v>1</v>
      </c>
    </row>
    <row r="34" spans="1:44" x14ac:dyDescent="0.25">
      <c r="A34" s="19">
        <f t="shared" si="5"/>
        <v>1</v>
      </c>
      <c r="B34" s="19">
        <v>3</v>
      </c>
      <c r="C34" s="20">
        <v>1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19"/>
      <c r="X34" s="19"/>
      <c r="Y34" s="20">
        <v>1</v>
      </c>
      <c r="Z34" s="20">
        <v>1</v>
      </c>
      <c r="AA34" s="20">
        <v>0</v>
      </c>
      <c r="AB34" s="20">
        <v>0</v>
      </c>
      <c r="AC34" s="20">
        <v>1</v>
      </c>
      <c r="AD34" s="20">
        <v>0</v>
      </c>
      <c r="AE34" s="20">
        <v>1</v>
      </c>
      <c r="AF34" s="20">
        <v>1</v>
      </c>
      <c r="AG34" s="20">
        <v>0</v>
      </c>
      <c r="AH34" s="20">
        <v>1</v>
      </c>
      <c r="AI34" s="20">
        <v>1</v>
      </c>
      <c r="AJ34" s="20">
        <v>0</v>
      </c>
      <c r="AK34" s="20">
        <v>1</v>
      </c>
      <c r="AL34" s="20">
        <v>0</v>
      </c>
      <c r="AM34" s="20">
        <v>0</v>
      </c>
      <c r="AN34" s="20">
        <v>0</v>
      </c>
      <c r="AO34" s="20">
        <v>1</v>
      </c>
      <c r="AP34" s="20">
        <v>1</v>
      </c>
      <c r="AQ34" s="20">
        <v>1</v>
      </c>
      <c r="AR34" s="20">
        <v>0</v>
      </c>
    </row>
    <row r="35" spans="1:44" x14ac:dyDescent="0.25">
      <c r="A35" s="19">
        <f t="shared" si="5"/>
        <v>1</v>
      </c>
      <c r="B35" s="19">
        <v>4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>
        <v>1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19"/>
      <c r="X35" s="19"/>
      <c r="Y35" s="20">
        <v>1</v>
      </c>
      <c r="Z35" s="20">
        <v>0</v>
      </c>
      <c r="AA35" s="20">
        <v>0</v>
      </c>
      <c r="AB35" s="20">
        <v>0</v>
      </c>
      <c r="AC35" s="20">
        <v>0</v>
      </c>
      <c r="AD35" s="20">
        <v>1</v>
      </c>
      <c r="AE35" s="20">
        <v>0</v>
      </c>
      <c r="AF35" s="20">
        <v>1</v>
      </c>
      <c r="AG35" s="20">
        <v>1</v>
      </c>
      <c r="AH35" s="20">
        <v>1</v>
      </c>
      <c r="AI35" s="20">
        <v>0</v>
      </c>
      <c r="AJ35" s="20">
        <v>0</v>
      </c>
      <c r="AK35" s="20">
        <v>0</v>
      </c>
      <c r="AL35" s="20">
        <v>0</v>
      </c>
      <c r="AM35" s="20">
        <v>0</v>
      </c>
      <c r="AN35" s="20">
        <v>0</v>
      </c>
      <c r="AO35" s="20">
        <v>0</v>
      </c>
      <c r="AP35" s="20">
        <v>1</v>
      </c>
      <c r="AQ35" s="20">
        <v>1</v>
      </c>
      <c r="AR35" s="20">
        <v>0</v>
      </c>
    </row>
    <row r="36" spans="1:44" x14ac:dyDescent="0.25">
      <c r="A36" s="19">
        <f t="shared" si="5"/>
        <v>0</v>
      </c>
      <c r="B36" s="19">
        <v>5</v>
      </c>
      <c r="C36" s="20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0</v>
      </c>
      <c r="S36" s="20">
        <v>0</v>
      </c>
      <c r="T36" s="20">
        <v>0</v>
      </c>
      <c r="U36" s="20">
        <v>0</v>
      </c>
      <c r="V36" s="20">
        <v>0</v>
      </c>
      <c r="W36" s="19"/>
      <c r="X36" s="19"/>
      <c r="Y36" s="20">
        <v>0</v>
      </c>
      <c r="Z36" s="20">
        <v>1</v>
      </c>
      <c r="AA36" s="20">
        <v>0</v>
      </c>
      <c r="AB36" s="20">
        <v>0</v>
      </c>
      <c r="AC36" s="20">
        <v>1</v>
      </c>
      <c r="AD36" s="20">
        <v>0</v>
      </c>
      <c r="AE36" s="20">
        <v>0</v>
      </c>
      <c r="AF36" s="20">
        <v>1</v>
      </c>
      <c r="AG36" s="20">
        <v>0</v>
      </c>
      <c r="AH36" s="20">
        <v>0</v>
      </c>
      <c r="AI36" s="20">
        <v>0</v>
      </c>
      <c r="AJ36" s="20">
        <v>1</v>
      </c>
      <c r="AK36" s="20">
        <v>1</v>
      </c>
      <c r="AL36" s="20">
        <v>1</v>
      </c>
      <c r="AM36" s="20">
        <v>0</v>
      </c>
      <c r="AN36" s="20">
        <v>1</v>
      </c>
      <c r="AO36" s="20">
        <v>0</v>
      </c>
      <c r="AP36" s="20">
        <v>0</v>
      </c>
      <c r="AQ36" s="20">
        <v>0</v>
      </c>
      <c r="AR36" s="20">
        <v>0</v>
      </c>
    </row>
    <row r="37" spans="1:44" x14ac:dyDescent="0.25">
      <c r="A37" s="19">
        <f t="shared" si="5"/>
        <v>1</v>
      </c>
      <c r="B37" s="19">
        <v>6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1</v>
      </c>
      <c r="W37" s="19"/>
      <c r="X37" s="19"/>
      <c r="Y37" s="20">
        <v>0</v>
      </c>
      <c r="Z37" s="20">
        <v>0</v>
      </c>
      <c r="AA37" s="20">
        <v>0</v>
      </c>
      <c r="AB37" s="20">
        <v>1</v>
      </c>
      <c r="AC37" s="20">
        <v>1</v>
      </c>
      <c r="AD37" s="20">
        <v>1</v>
      </c>
      <c r="AE37" s="20">
        <v>1</v>
      </c>
      <c r="AF37" s="20">
        <v>1</v>
      </c>
      <c r="AG37" s="20">
        <v>0</v>
      </c>
      <c r="AH37" s="20">
        <v>1</v>
      </c>
      <c r="AI37" s="20">
        <v>1</v>
      </c>
      <c r="AJ37" s="20">
        <v>0</v>
      </c>
      <c r="AK37" s="20">
        <v>0</v>
      </c>
      <c r="AL37" s="20">
        <v>0</v>
      </c>
      <c r="AM37" s="20">
        <v>1</v>
      </c>
      <c r="AN37" s="20">
        <v>1</v>
      </c>
      <c r="AO37" s="20">
        <v>1</v>
      </c>
      <c r="AP37" s="20">
        <v>1</v>
      </c>
      <c r="AQ37" s="20">
        <v>1</v>
      </c>
      <c r="AR37" s="20">
        <v>1</v>
      </c>
    </row>
    <row r="38" spans="1:44" x14ac:dyDescent="0.25">
      <c r="A38" s="19">
        <f t="shared" si="5"/>
        <v>0</v>
      </c>
      <c r="B38" s="19">
        <v>7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19"/>
      <c r="X38" s="19"/>
      <c r="Y38" s="20">
        <v>1</v>
      </c>
      <c r="Z38" s="20">
        <v>1</v>
      </c>
      <c r="AA38" s="20">
        <v>0</v>
      </c>
      <c r="AB38" s="20">
        <v>0</v>
      </c>
      <c r="AC38" s="20">
        <v>0</v>
      </c>
      <c r="AD38" s="20">
        <v>1</v>
      </c>
      <c r="AE38" s="20">
        <v>0</v>
      </c>
      <c r="AF38" s="20">
        <v>0</v>
      </c>
      <c r="AG38" s="20">
        <v>1</v>
      </c>
      <c r="AH38" s="20">
        <v>1</v>
      </c>
      <c r="AI38" s="20">
        <v>1</v>
      </c>
      <c r="AJ38" s="20">
        <v>1</v>
      </c>
      <c r="AK38" s="20">
        <v>0</v>
      </c>
      <c r="AL38" s="20">
        <v>1</v>
      </c>
      <c r="AM38" s="20">
        <v>1</v>
      </c>
      <c r="AN38" s="20">
        <v>0</v>
      </c>
      <c r="AO38" s="20">
        <v>0</v>
      </c>
      <c r="AP38" s="20">
        <v>0</v>
      </c>
      <c r="AQ38" s="20">
        <v>1</v>
      </c>
      <c r="AR38" s="20">
        <v>1</v>
      </c>
    </row>
    <row r="39" spans="1:44" x14ac:dyDescent="0.25">
      <c r="A39" s="19">
        <f t="shared" si="5"/>
        <v>0</v>
      </c>
      <c r="B39" s="19">
        <v>8</v>
      </c>
      <c r="C39" s="20">
        <v>0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19"/>
      <c r="X39" s="19"/>
      <c r="Y39" s="20">
        <v>1</v>
      </c>
      <c r="Z39" s="20">
        <v>1</v>
      </c>
      <c r="AA39" s="20">
        <v>0</v>
      </c>
      <c r="AB39" s="20">
        <v>1</v>
      </c>
      <c r="AC39" s="20">
        <v>1</v>
      </c>
      <c r="AD39" s="20">
        <v>1</v>
      </c>
      <c r="AE39" s="20">
        <v>1</v>
      </c>
      <c r="AF39" s="20">
        <v>0</v>
      </c>
      <c r="AG39" s="20">
        <v>1</v>
      </c>
      <c r="AH39" s="20">
        <v>0</v>
      </c>
      <c r="AI39" s="20">
        <v>0</v>
      </c>
      <c r="AJ39" s="20">
        <v>0</v>
      </c>
      <c r="AK39" s="20">
        <v>0</v>
      </c>
      <c r="AL39" s="20">
        <v>1</v>
      </c>
      <c r="AM39" s="20">
        <v>1</v>
      </c>
      <c r="AN39" s="20">
        <v>0</v>
      </c>
      <c r="AO39" s="20">
        <v>1</v>
      </c>
      <c r="AP39" s="20">
        <v>1</v>
      </c>
      <c r="AQ39" s="20">
        <v>0</v>
      </c>
      <c r="AR39" s="20">
        <v>1</v>
      </c>
    </row>
    <row r="40" spans="1:44" x14ac:dyDescent="0.25">
      <c r="A40" s="19">
        <f t="shared" si="5"/>
        <v>1</v>
      </c>
      <c r="B40" s="19">
        <v>9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  <c r="J40" s="20">
        <v>1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19"/>
      <c r="X40" s="19"/>
      <c r="Y40" s="20">
        <v>0</v>
      </c>
      <c r="Z40" s="20">
        <v>0</v>
      </c>
      <c r="AA40" s="20">
        <v>1</v>
      </c>
      <c r="AB40" s="20">
        <v>1</v>
      </c>
      <c r="AC40" s="20">
        <v>1</v>
      </c>
      <c r="AD40" s="20">
        <v>1</v>
      </c>
      <c r="AE40" s="20">
        <v>1</v>
      </c>
      <c r="AF40" s="20">
        <v>1</v>
      </c>
      <c r="AG40" s="20">
        <v>0</v>
      </c>
      <c r="AH40" s="20">
        <v>1</v>
      </c>
      <c r="AI40" s="20">
        <v>1</v>
      </c>
      <c r="AJ40" s="20">
        <v>1</v>
      </c>
      <c r="AK40" s="20">
        <v>1</v>
      </c>
      <c r="AL40" s="20">
        <v>1</v>
      </c>
      <c r="AM40" s="20">
        <v>0</v>
      </c>
      <c r="AN40" s="20">
        <v>1</v>
      </c>
      <c r="AO40" s="20">
        <v>1</v>
      </c>
      <c r="AP40" s="20">
        <v>1</v>
      </c>
      <c r="AQ40" s="20">
        <v>0</v>
      </c>
      <c r="AR40" s="20">
        <v>0</v>
      </c>
    </row>
    <row r="41" spans="1:44" x14ac:dyDescent="0.25">
      <c r="A41" s="19">
        <f t="shared" si="5"/>
        <v>0</v>
      </c>
      <c r="B41" s="19">
        <v>10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19"/>
      <c r="X41" s="19"/>
      <c r="Y41" s="20">
        <v>1</v>
      </c>
      <c r="Z41" s="20">
        <v>1</v>
      </c>
      <c r="AA41" s="20">
        <v>0</v>
      </c>
      <c r="AB41" s="20">
        <v>0</v>
      </c>
      <c r="AC41" s="20">
        <v>0</v>
      </c>
      <c r="AD41" s="20">
        <v>1</v>
      </c>
      <c r="AE41" s="20">
        <v>1</v>
      </c>
      <c r="AF41" s="20">
        <v>0</v>
      </c>
      <c r="AG41" s="20">
        <v>0</v>
      </c>
      <c r="AH41" s="20">
        <v>1</v>
      </c>
      <c r="AI41" s="20">
        <v>0</v>
      </c>
      <c r="AJ41" s="20">
        <v>0</v>
      </c>
      <c r="AK41" s="20">
        <v>1</v>
      </c>
      <c r="AL41" s="20">
        <v>1</v>
      </c>
      <c r="AM41" s="20">
        <v>1</v>
      </c>
      <c r="AN41" s="20">
        <v>0</v>
      </c>
      <c r="AO41" s="20">
        <v>1</v>
      </c>
      <c r="AP41" s="20">
        <v>0</v>
      </c>
      <c r="AQ41" s="20">
        <v>0</v>
      </c>
      <c r="AR41" s="20">
        <v>1</v>
      </c>
    </row>
    <row r="42" spans="1:44" x14ac:dyDescent="0.25">
      <c r="A42" s="19">
        <f t="shared" si="5"/>
        <v>0</v>
      </c>
      <c r="B42" s="19">
        <v>11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19"/>
      <c r="X42" s="19"/>
      <c r="Y42" s="20">
        <v>1</v>
      </c>
      <c r="Z42" s="20">
        <v>0</v>
      </c>
      <c r="AA42" s="20">
        <v>1</v>
      </c>
      <c r="AB42" s="20">
        <v>1</v>
      </c>
      <c r="AC42" s="20">
        <v>1</v>
      </c>
      <c r="AD42" s="20">
        <v>0</v>
      </c>
      <c r="AE42" s="20">
        <v>0</v>
      </c>
      <c r="AF42" s="20">
        <v>0</v>
      </c>
      <c r="AG42" s="20">
        <v>1</v>
      </c>
      <c r="AH42" s="20">
        <v>0</v>
      </c>
      <c r="AI42" s="20">
        <v>1</v>
      </c>
      <c r="AJ42" s="20">
        <v>1</v>
      </c>
      <c r="AK42" s="20">
        <v>1</v>
      </c>
      <c r="AL42" s="20">
        <v>0</v>
      </c>
      <c r="AM42" s="20">
        <v>0</v>
      </c>
      <c r="AN42" s="20">
        <v>1</v>
      </c>
      <c r="AO42" s="20">
        <v>1</v>
      </c>
      <c r="AP42" s="20">
        <v>0</v>
      </c>
      <c r="AQ42" s="20">
        <v>0</v>
      </c>
      <c r="AR42" s="20">
        <v>1</v>
      </c>
    </row>
    <row r="43" spans="1:44" x14ac:dyDescent="0.25">
      <c r="A43" s="19">
        <f t="shared" si="5"/>
        <v>1</v>
      </c>
      <c r="B43" s="19">
        <v>12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1</v>
      </c>
      <c r="N43" s="20">
        <v>0</v>
      </c>
      <c r="O43" s="20">
        <v>0</v>
      </c>
      <c r="P43" s="20">
        <v>0</v>
      </c>
      <c r="Q43" s="20">
        <v>0</v>
      </c>
      <c r="R43" s="20">
        <v>0</v>
      </c>
      <c r="S43" s="20">
        <v>0</v>
      </c>
      <c r="T43" s="20">
        <v>0</v>
      </c>
      <c r="U43" s="20">
        <v>0</v>
      </c>
      <c r="V43" s="20">
        <v>0</v>
      </c>
      <c r="W43" s="19"/>
      <c r="X43" s="19"/>
      <c r="Y43" s="20">
        <v>1</v>
      </c>
      <c r="Z43" s="20">
        <v>1</v>
      </c>
      <c r="AA43" s="20">
        <v>0</v>
      </c>
      <c r="AB43" s="20">
        <v>1</v>
      </c>
      <c r="AC43" s="20">
        <v>0</v>
      </c>
      <c r="AD43" s="20">
        <v>0</v>
      </c>
      <c r="AE43" s="20">
        <v>1</v>
      </c>
      <c r="AF43" s="20">
        <v>1</v>
      </c>
      <c r="AG43" s="20">
        <v>1</v>
      </c>
      <c r="AH43" s="20">
        <v>1</v>
      </c>
      <c r="AI43" s="20">
        <v>0</v>
      </c>
      <c r="AJ43" s="20">
        <v>0</v>
      </c>
      <c r="AK43" s="20">
        <v>0</v>
      </c>
      <c r="AL43" s="20">
        <v>0</v>
      </c>
      <c r="AM43" s="20">
        <v>0</v>
      </c>
      <c r="AN43" s="20">
        <v>0</v>
      </c>
      <c r="AO43" s="20">
        <v>1</v>
      </c>
      <c r="AP43" s="20">
        <v>1</v>
      </c>
      <c r="AQ43" s="20">
        <v>1</v>
      </c>
      <c r="AR43" s="20">
        <v>1</v>
      </c>
    </row>
    <row r="44" spans="1:44" x14ac:dyDescent="0.25">
      <c r="A44" s="19">
        <f t="shared" si="5"/>
        <v>1</v>
      </c>
      <c r="B44" s="19">
        <v>13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0">
        <v>1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19"/>
      <c r="X44" s="19"/>
      <c r="Y44" s="20">
        <v>1</v>
      </c>
      <c r="Z44" s="20">
        <v>0</v>
      </c>
      <c r="AA44" s="20">
        <v>0</v>
      </c>
      <c r="AB44" s="20">
        <v>0</v>
      </c>
      <c r="AC44" s="20">
        <v>0</v>
      </c>
      <c r="AD44" s="20">
        <v>1</v>
      </c>
      <c r="AE44" s="20">
        <v>1</v>
      </c>
      <c r="AF44" s="20">
        <v>1</v>
      </c>
      <c r="AG44" s="20">
        <v>1</v>
      </c>
      <c r="AH44" s="20">
        <v>0</v>
      </c>
      <c r="AI44" s="20">
        <v>1</v>
      </c>
      <c r="AJ44" s="20">
        <v>1</v>
      </c>
      <c r="AK44" s="20">
        <v>0</v>
      </c>
      <c r="AL44" s="20">
        <v>0</v>
      </c>
      <c r="AM44" s="20">
        <v>1</v>
      </c>
      <c r="AN44" s="20">
        <v>0</v>
      </c>
      <c r="AO44" s="20">
        <v>1</v>
      </c>
      <c r="AP44" s="20">
        <v>0</v>
      </c>
      <c r="AQ44" s="20">
        <v>0</v>
      </c>
      <c r="AR44" s="20">
        <v>0</v>
      </c>
    </row>
    <row r="45" spans="1:44" x14ac:dyDescent="0.25">
      <c r="A45" s="19">
        <f t="shared" si="5"/>
        <v>1</v>
      </c>
      <c r="B45" s="19">
        <v>14</v>
      </c>
      <c r="C45" s="20">
        <v>0</v>
      </c>
      <c r="D45" s="20">
        <v>0</v>
      </c>
      <c r="E45" s="20">
        <v>0</v>
      </c>
      <c r="F45" s="20">
        <v>0</v>
      </c>
      <c r="G45" s="20">
        <v>0</v>
      </c>
      <c r="H45" s="20">
        <v>0</v>
      </c>
      <c r="I45" s="20">
        <v>0</v>
      </c>
      <c r="J45" s="20">
        <v>0</v>
      </c>
      <c r="K45" s="20">
        <v>0</v>
      </c>
      <c r="L45" s="20">
        <v>1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19"/>
      <c r="X45" s="19"/>
      <c r="Y45" s="20">
        <v>0</v>
      </c>
      <c r="Z45" s="20">
        <v>1</v>
      </c>
      <c r="AA45" s="20">
        <v>1</v>
      </c>
      <c r="AB45" s="20">
        <v>1</v>
      </c>
      <c r="AC45" s="20">
        <v>0</v>
      </c>
      <c r="AD45" s="20">
        <v>0</v>
      </c>
      <c r="AE45" s="20">
        <v>0</v>
      </c>
      <c r="AF45" s="20">
        <v>1</v>
      </c>
      <c r="AG45" s="20">
        <v>1</v>
      </c>
      <c r="AH45" s="20">
        <v>1</v>
      </c>
      <c r="AI45" s="20">
        <v>0</v>
      </c>
      <c r="AJ45" s="20">
        <v>1</v>
      </c>
      <c r="AK45" s="20">
        <v>1</v>
      </c>
      <c r="AL45" s="20">
        <v>0</v>
      </c>
      <c r="AM45" s="20">
        <v>0</v>
      </c>
      <c r="AN45" s="20">
        <v>1</v>
      </c>
      <c r="AO45" s="20">
        <v>0</v>
      </c>
      <c r="AP45" s="20">
        <v>1</v>
      </c>
      <c r="AQ45" s="20">
        <v>0</v>
      </c>
      <c r="AR45" s="20">
        <v>1</v>
      </c>
    </row>
    <row r="46" spans="1:44" x14ac:dyDescent="0.25">
      <c r="A46" s="19">
        <f t="shared" si="5"/>
        <v>1</v>
      </c>
      <c r="B46" s="19">
        <v>15</v>
      </c>
      <c r="C46" s="20">
        <v>0</v>
      </c>
      <c r="D46" s="20">
        <v>0</v>
      </c>
      <c r="E46" s="20">
        <v>0</v>
      </c>
      <c r="F46" s="20">
        <v>0</v>
      </c>
      <c r="G46" s="20"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0">
        <v>0</v>
      </c>
      <c r="P46" s="20">
        <v>0</v>
      </c>
      <c r="Q46" s="20">
        <v>0</v>
      </c>
      <c r="R46" s="20">
        <v>1</v>
      </c>
      <c r="S46" s="20">
        <v>0</v>
      </c>
      <c r="T46" s="20">
        <v>0</v>
      </c>
      <c r="U46" s="20">
        <v>0</v>
      </c>
      <c r="V46" s="20">
        <v>0</v>
      </c>
      <c r="W46" s="19"/>
      <c r="X46" s="19"/>
      <c r="Y46" s="20">
        <v>1</v>
      </c>
      <c r="Z46" s="20">
        <v>1</v>
      </c>
      <c r="AA46" s="20">
        <v>0</v>
      </c>
      <c r="AB46" s="20">
        <v>0</v>
      </c>
      <c r="AC46" s="20">
        <v>0</v>
      </c>
      <c r="AD46" s="20">
        <v>1</v>
      </c>
      <c r="AE46" s="20">
        <v>0</v>
      </c>
      <c r="AF46" s="20">
        <v>0</v>
      </c>
      <c r="AG46" s="20">
        <v>1</v>
      </c>
      <c r="AH46" s="20">
        <v>0</v>
      </c>
      <c r="AI46" s="20">
        <v>0</v>
      </c>
      <c r="AJ46" s="20">
        <v>1</v>
      </c>
      <c r="AK46" s="20">
        <v>0</v>
      </c>
      <c r="AL46" s="20">
        <v>1</v>
      </c>
      <c r="AM46" s="20">
        <v>1</v>
      </c>
      <c r="AN46" s="20">
        <v>0</v>
      </c>
      <c r="AO46" s="20">
        <v>0</v>
      </c>
      <c r="AP46" s="20">
        <v>1</v>
      </c>
      <c r="AQ46" s="20">
        <v>0</v>
      </c>
      <c r="AR46" s="20">
        <v>0</v>
      </c>
    </row>
    <row r="47" spans="1:44" x14ac:dyDescent="0.25">
      <c r="A47" s="19">
        <f t="shared" si="5"/>
        <v>1</v>
      </c>
      <c r="B47" s="19">
        <v>16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1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19"/>
      <c r="X47" s="19"/>
      <c r="Y47" s="20">
        <v>1</v>
      </c>
      <c r="Z47" s="20">
        <v>0</v>
      </c>
      <c r="AA47" s="20">
        <v>0</v>
      </c>
      <c r="AB47" s="20">
        <v>1</v>
      </c>
      <c r="AC47" s="20">
        <v>1</v>
      </c>
      <c r="AD47" s="20">
        <v>0</v>
      </c>
      <c r="AE47" s="20">
        <v>0</v>
      </c>
      <c r="AF47" s="20">
        <v>1</v>
      </c>
      <c r="AG47" s="20">
        <v>1</v>
      </c>
      <c r="AH47" s="20">
        <v>1</v>
      </c>
      <c r="AI47" s="20">
        <v>1</v>
      </c>
      <c r="AJ47" s="20">
        <v>1</v>
      </c>
      <c r="AK47" s="20">
        <v>1</v>
      </c>
      <c r="AL47" s="20">
        <v>1</v>
      </c>
      <c r="AM47" s="20">
        <v>1</v>
      </c>
      <c r="AN47" s="20">
        <v>1</v>
      </c>
      <c r="AO47" s="20">
        <v>0</v>
      </c>
      <c r="AP47" s="20">
        <v>0</v>
      </c>
      <c r="AQ47" s="20">
        <v>0</v>
      </c>
      <c r="AR47" s="20">
        <v>0</v>
      </c>
    </row>
    <row r="48" spans="1:44" x14ac:dyDescent="0.25">
      <c r="A48" s="19">
        <f t="shared" si="5"/>
        <v>1</v>
      </c>
      <c r="B48" s="19">
        <v>17</v>
      </c>
      <c r="C48" s="20">
        <v>0</v>
      </c>
      <c r="D48" s="20">
        <v>0</v>
      </c>
      <c r="E48" s="20">
        <v>0</v>
      </c>
      <c r="F48" s="20">
        <v>0</v>
      </c>
      <c r="G48" s="20">
        <v>1</v>
      </c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19"/>
      <c r="X48" s="19"/>
      <c r="Y48" s="20">
        <v>0</v>
      </c>
      <c r="Z48" s="20">
        <v>1</v>
      </c>
      <c r="AA48" s="20">
        <v>0</v>
      </c>
      <c r="AB48" s="20">
        <v>1</v>
      </c>
      <c r="AC48" s="20">
        <v>0</v>
      </c>
      <c r="AD48" s="20">
        <v>0</v>
      </c>
      <c r="AE48" s="20">
        <v>1</v>
      </c>
      <c r="AF48" s="20">
        <v>0</v>
      </c>
      <c r="AG48" s="20">
        <v>1</v>
      </c>
      <c r="AH48" s="20">
        <v>0</v>
      </c>
      <c r="AI48" s="20">
        <v>1</v>
      </c>
      <c r="AJ48" s="20">
        <v>1</v>
      </c>
      <c r="AK48" s="20">
        <v>0</v>
      </c>
      <c r="AL48" s="20">
        <v>0</v>
      </c>
      <c r="AM48" s="20">
        <v>1</v>
      </c>
      <c r="AN48" s="20">
        <v>1</v>
      </c>
      <c r="AO48" s="20">
        <v>0</v>
      </c>
      <c r="AP48" s="20">
        <v>0</v>
      </c>
      <c r="AQ48" s="20">
        <v>0</v>
      </c>
      <c r="AR48" s="20">
        <v>1</v>
      </c>
    </row>
    <row r="49" spans="1:44" x14ac:dyDescent="0.25">
      <c r="A49" s="19">
        <f t="shared" si="5"/>
        <v>0</v>
      </c>
      <c r="B49" s="19">
        <v>18</v>
      </c>
      <c r="C49" s="20">
        <v>0</v>
      </c>
      <c r="D49" s="20">
        <v>0</v>
      </c>
      <c r="E49" s="20">
        <v>0</v>
      </c>
      <c r="F49" s="20">
        <v>0</v>
      </c>
      <c r="G49" s="20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19"/>
      <c r="X49" s="19"/>
      <c r="Y49" s="20">
        <v>1</v>
      </c>
      <c r="Z49" s="20">
        <v>1</v>
      </c>
      <c r="AA49" s="20">
        <v>0</v>
      </c>
      <c r="AB49" s="20">
        <v>0</v>
      </c>
      <c r="AC49" s="20">
        <v>1</v>
      </c>
      <c r="AD49" s="20">
        <v>1</v>
      </c>
      <c r="AE49" s="20">
        <v>0</v>
      </c>
      <c r="AF49" s="20">
        <v>1</v>
      </c>
      <c r="AG49" s="20">
        <v>1</v>
      </c>
      <c r="AH49" s="20">
        <v>0</v>
      </c>
      <c r="AI49" s="20">
        <v>1</v>
      </c>
      <c r="AJ49" s="20">
        <v>0</v>
      </c>
      <c r="AK49" s="20">
        <v>0</v>
      </c>
      <c r="AL49" s="20">
        <v>1</v>
      </c>
      <c r="AM49" s="20">
        <v>1</v>
      </c>
      <c r="AN49" s="20">
        <v>1</v>
      </c>
      <c r="AO49" s="20">
        <v>1</v>
      </c>
      <c r="AP49" s="20">
        <v>1</v>
      </c>
      <c r="AQ49" s="20">
        <v>0</v>
      </c>
      <c r="AR49" s="20">
        <v>1</v>
      </c>
    </row>
    <row r="50" spans="1:44" x14ac:dyDescent="0.25">
      <c r="A50" s="19">
        <f t="shared" si="5"/>
        <v>1</v>
      </c>
      <c r="B50" s="19">
        <v>19</v>
      </c>
      <c r="C50" s="20">
        <v>0</v>
      </c>
      <c r="D50" s="20">
        <v>0</v>
      </c>
      <c r="E50" s="20">
        <v>0</v>
      </c>
      <c r="F50" s="20">
        <v>0</v>
      </c>
      <c r="G50" s="20">
        <v>0</v>
      </c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1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19"/>
      <c r="X50" s="19"/>
      <c r="Y50" s="20">
        <v>0</v>
      </c>
      <c r="Z50" s="20">
        <v>1</v>
      </c>
      <c r="AA50" s="20">
        <v>1</v>
      </c>
      <c r="AB50" s="20">
        <v>1</v>
      </c>
      <c r="AC50" s="20">
        <v>0</v>
      </c>
      <c r="AD50" s="20">
        <v>1</v>
      </c>
      <c r="AE50" s="20">
        <v>1</v>
      </c>
      <c r="AF50" s="20">
        <v>1</v>
      </c>
      <c r="AG50" s="20">
        <v>1</v>
      </c>
      <c r="AH50" s="20">
        <v>0</v>
      </c>
      <c r="AI50" s="20">
        <v>1</v>
      </c>
      <c r="AJ50" s="20">
        <v>1</v>
      </c>
      <c r="AK50" s="20">
        <v>1</v>
      </c>
      <c r="AL50" s="20">
        <v>0</v>
      </c>
      <c r="AM50" s="20">
        <v>1</v>
      </c>
      <c r="AN50" s="20">
        <v>0</v>
      </c>
      <c r="AO50" s="20">
        <v>0</v>
      </c>
      <c r="AP50" s="20">
        <v>0</v>
      </c>
      <c r="AQ50" s="20">
        <v>1</v>
      </c>
      <c r="AR50" s="20">
        <v>1</v>
      </c>
    </row>
    <row r="51" spans="1:44" x14ac:dyDescent="0.25">
      <c r="A51" s="19">
        <f t="shared" si="5"/>
        <v>1</v>
      </c>
      <c r="B51" s="19">
        <v>20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1</v>
      </c>
      <c r="U51" s="20">
        <v>0</v>
      </c>
      <c r="V51" s="20">
        <v>0</v>
      </c>
      <c r="W51" s="19" t="s">
        <v>8</v>
      </c>
      <c r="X51" s="19">
        <f>SUM(C32:V51)</f>
        <v>14</v>
      </c>
      <c r="Y51" s="20">
        <v>1</v>
      </c>
      <c r="Z51" s="20">
        <v>1</v>
      </c>
      <c r="AA51" s="20">
        <v>0</v>
      </c>
      <c r="AB51" s="20">
        <v>0</v>
      </c>
      <c r="AC51" s="20">
        <v>0</v>
      </c>
      <c r="AD51" s="20">
        <v>1</v>
      </c>
      <c r="AE51" s="20">
        <v>0</v>
      </c>
      <c r="AF51" s="20">
        <v>0</v>
      </c>
      <c r="AG51" s="20">
        <v>0</v>
      </c>
      <c r="AH51" s="20">
        <v>1</v>
      </c>
      <c r="AI51" s="20">
        <v>0</v>
      </c>
      <c r="AJ51" s="20">
        <v>1</v>
      </c>
      <c r="AK51" s="20">
        <v>0</v>
      </c>
      <c r="AL51" s="20">
        <v>1</v>
      </c>
      <c r="AM51" s="20">
        <v>0</v>
      </c>
      <c r="AN51" s="20">
        <v>1</v>
      </c>
      <c r="AO51" s="20">
        <v>0</v>
      </c>
      <c r="AP51" s="20">
        <v>1</v>
      </c>
      <c r="AQ51" s="20">
        <v>0</v>
      </c>
      <c r="AR51" s="20">
        <v>1</v>
      </c>
    </row>
    <row r="52" spans="1:44" x14ac:dyDescent="0.25">
      <c r="W52" s="19"/>
      <c r="X52" s="19"/>
    </row>
    <row r="53" spans="1:44" x14ac:dyDescent="0.25">
      <c r="W53" s="19"/>
      <c r="X53" s="19"/>
    </row>
    <row r="54" spans="1:44" x14ac:dyDescent="0.25">
      <c r="W54" s="19"/>
      <c r="X54" s="19"/>
    </row>
    <row r="55" spans="1:44" x14ac:dyDescent="0.25">
      <c r="C55" s="20">
        <v>1</v>
      </c>
      <c r="D55" s="20">
        <v>2</v>
      </c>
      <c r="E55" s="20">
        <v>3</v>
      </c>
      <c r="F55" s="20">
        <v>4</v>
      </c>
      <c r="G55" s="20">
        <v>5</v>
      </c>
      <c r="H55" s="20">
        <v>6</v>
      </c>
      <c r="I55" s="20">
        <v>7</v>
      </c>
      <c r="J55" s="20">
        <v>8</v>
      </c>
      <c r="K55" s="20">
        <v>9</v>
      </c>
      <c r="L55" s="20">
        <v>10</v>
      </c>
      <c r="M55" s="20">
        <v>11</v>
      </c>
      <c r="N55" s="20">
        <v>12</v>
      </c>
      <c r="O55" s="20">
        <v>13</v>
      </c>
      <c r="P55" s="20">
        <v>14</v>
      </c>
      <c r="Q55" s="20">
        <v>15</v>
      </c>
      <c r="R55" s="20">
        <v>16</v>
      </c>
      <c r="S55" s="20">
        <v>17</v>
      </c>
      <c r="T55" s="20">
        <v>18</v>
      </c>
      <c r="U55" s="20">
        <v>19</v>
      </c>
      <c r="V55" s="20">
        <v>20</v>
      </c>
      <c r="W55" s="19"/>
      <c r="X55" s="19"/>
    </row>
    <row r="56" spans="1:44" x14ac:dyDescent="0.25">
      <c r="A56" s="29">
        <f>IF(SUM(C56:V56)&lt;0,1,0)</f>
        <v>0</v>
      </c>
      <c r="B56" s="19">
        <v>1</v>
      </c>
      <c r="C56" s="22">
        <f>IF(SUM(C$32:C$51)&gt;1,$Y$4,1*$Y$3)+IF(SUM($C32:$V32)&gt;1,$Y$4,1*$Y$3)+C104+$Y$5+$Y$8</f>
        <v>18.07738814093921</v>
      </c>
      <c r="D56" s="22">
        <f t="shared" ref="D56:V56" si="6">IF(SUM(D$32:D$51)&gt;1,$Y$4,1*$Y$3)+IF(SUM($C32:$V32)&gt;1,$Y$4,1*$Y$3)+D104+$Y$5+$Y$8</f>
        <v>18.09132391492739</v>
      </c>
      <c r="E56" s="22">
        <f t="shared" si="6"/>
        <v>18.047046712939689</v>
      </c>
      <c r="F56" s="22">
        <f t="shared" si="6"/>
        <v>18.166831785541621</v>
      </c>
      <c r="G56" s="22">
        <f t="shared" si="6"/>
        <v>18.144618398950044</v>
      </c>
      <c r="H56" s="22">
        <f t="shared" si="6"/>
        <v>18.259384613142185</v>
      </c>
      <c r="I56" s="22">
        <f t="shared" si="6"/>
        <v>18.075170172833236</v>
      </c>
      <c r="J56" s="22">
        <f t="shared" si="6"/>
        <v>18.127756890005692</v>
      </c>
      <c r="K56" s="22">
        <f t="shared" si="6"/>
        <v>18.259384613142185</v>
      </c>
      <c r="L56" s="22">
        <f t="shared" si="6"/>
        <v>18.104417171125782</v>
      </c>
      <c r="M56" s="22">
        <f t="shared" si="6"/>
        <v>18.166831785541621</v>
      </c>
      <c r="N56" s="22">
        <f t="shared" si="6"/>
        <v>18.08333582289022</v>
      </c>
      <c r="O56" s="22">
        <f t="shared" si="6"/>
        <v>18.075170172833236</v>
      </c>
      <c r="P56" s="22">
        <f t="shared" si="6"/>
        <v>18.095848476022656</v>
      </c>
      <c r="Q56" s="22">
        <f t="shared" si="6"/>
        <v>18.053817689437494</v>
      </c>
      <c r="R56" s="22">
        <f t="shared" si="6"/>
        <v>18.154548245501754</v>
      </c>
      <c r="S56" s="22">
        <f t="shared" si="6"/>
        <v>18.095848476022656</v>
      </c>
      <c r="T56" s="22">
        <f t="shared" si="6"/>
        <v>18.074123562462958</v>
      </c>
      <c r="U56" s="22">
        <f t="shared" si="6"/>
        <v>18.144618398950044</v>
      </c>
      <c r="V56" s="22">
        <f t="shared" si="6"/>
        <v>18.157364069470265</v>
      </c>
      <c r="W56" s="19"/>
      <c r="X56" s="19"/>
      <c r="Y56" s="22">
        <f>C32*C104</f>
        <v>0</v>
      </c>
      <c r="Z56" s="22">
        <f t="shared" ref="Z56:AR56" si="7">D32*D104</f>
        <v>0.10275248635596666</v>
      </c>
      <c r="AA56" s="22">
        <f t="shared" si="7"/>
        <v>0</v>
      </c>
      <c r="AB56" s="22">
        <f t="shared" si="7"/>
        <v>0</v>
      </c>
      <c r="AC56" s="22">
        <f t="shared" si="7"/>
        <v>0</v>
      </c>
      <c r="AD56" s="22">
        <f t="shared" si="7"/>
        <v>0</v>
      </c>
      <c r="AE56" s="22">
        <f t="shared" si="7"/>
        <v>0</v>
      </c>
      <c r="AF56" s="22">
        <f t="shared" si="7"/>
        <v>0</v>
      </c>
      <c r="AG56" s="22">
        <f t="shared" si="7"/>
        <v>0</v>
      </c>
      <c r="AH56" s="22">
        <f t="shared" si="7"/>
        <v>0</v>
      </c>
      <c r="AI56" s="22">
        <f t="shared" si="7"/>
        <v>0</v>
      </c>
      <c r="AJ56" s="22">
        <f t="shared" si="7"/>
        <v>0</v>
      </c>
      <c r="AK56" s="22">
        <f t="shared" si="7"/>
        <v>0</v>
      </c>
      <c r="AL56" s="22">
        <f t="shared" si="7"/>
        <v>0</v>
      </c>
      <c r="AM56" s="22">
        <f t="shared" si="7"/>
        <v>0</v>
      </c>
      <c r="AN56" s="22">
        <f t="shared" si="7"/>
        <v>0</v>
      </c>
      <c r="AO56" s="22">
        <f t="shared" si="7"/>
        <v>0</v>
      </c>
      <c r="AP56" s="22">
        <f t="shared" si="7"/>
        <v>0</v>
      </c>
      <c r="AQ56" s="22">
        <f t="shared" si="7"/>
        <v>0</v>
      </c>
      <c r="AR56" s="22">
        <f t="shared" si="7"/>
        <v>0</v>
      </c>
    </row>
    <row r="57" spans="1:44" x14ac:dyDescent="0.25">
      <c r="A57" s="29">
        <f t="shared" ref="A57:A75" si="8">IF(SUM(C57:V57)&lt;0,1,0)</f>
        <v>0</v>
      </c>
      <c r="B57" s="19">
        <v>2</v>
      </c>
      <c r="C57" s="22">
        <f t="shared" ref="C57:V57" si="9">IF(SUM(C$32:C$51)&gt;1,$Y$4,1*$Y$3)+IF(SUM($C33:$V33)&gt;1,$Y$4,1*$Y$3)+C105+$Y$5+$Y$8</f>
        <v>18.169478739805719</v>
      </c>
      <c r="D57" s="22">
        <f t="shared" si="9"/>
        <v>18.169478739805719</v>
      </c>
      <c r="E57" s="22">
        <f t="shared" si="9"/>
        <v>18.074729291511318</v>
      </c>
      <c r="F57" s="22">
        <f t="shared" si="9"/>
        <v>18.062156687695325</v>
      </c>
      <c r="G57" s="22">
        <f t="shared" si="9"/>
        <v>18.056800540613192</v>
      </c>
      <c r="H57" s="22">
        <f t="shared" si="9"/>
        <v>18.071435394090678</v>
      </c>
      <c r="I57" s="22">
        <f t="shared" si="9"/>
        <v>18.051136636910449</v>
      </c>
      <c r="J57" s="22">
        <f t="shared" si="9"/>
        <v>18.074038100637647</v>
      </c>
      <c r="K57" s="22">
        <f t="shared" si="9"/>
        <v>18.121564257612452</v>
      </c>
      <c r="L57" s="22">
        <f t="shared" si="9"/>
        <v>18.118935383331497</v>
      </c>
      <c r="M57" s="22">
        <f t="shared" si="9"/>
        <v>18.068501956580711</v>
      </c>
      <c r="N57" s="22">
        <f t="shared" si="9"/>
        <v>18.162683823466892</v>
      </c>
      <c r="O57" s="22">
        <f t="shared" si="9"/>
        <v>18.114133410436519</v>
      </c>
      <c r="P57" s="22">
        <f t="shared" si="9"/>
        <v>18.137805623031607</v>
      </c>
      <c r="Q57" s="22">
        <f t="shared" si="9"/>
        <v>18.124367910360764</v>
      </c>
      <c r="R57" s="22">
        <f t="shared" si="9"/>
        <v>18.069636401502834</v>
      </c>
      <c r="S57" s="22">
        <f t="shared" si="9"/>
        <v>18.058573310369638</v>
      </c>
      <c r="T57" s="22">
        <f t="shared" si="9"/>
        <v>18.270300475261678</v>
      </c>
      <c r="U57" s="22">
        <f t="shared" si="9"/>
        <v>18.062590695473013</v>
      </c>
      <c r="V57" s="22">
        <f t="shared" si="9"/>
        <v>18.062590695473013</v>
      </c>
      <c r="W57" s="19"/>
      <c r="X57" s="19"/>
      <c r="Y57" s="22">
        <f t="shared" ref="Y57:Y75" si="10">C33*C105</f>
        <v>0</v>
      </c>
      <c r="Z57" s="22">
        <f t="shared" ref="Z57:Z75" si="11">D33*D105</f>
        <v>0</v>
      </c>
      <c r="AA57" s="22">
        <f t="shared" ref="AA57:AA75" si="12">E33*E105</f>
        <v>0</v>
      </c>
      <c r="AB57" s="22">
        <f t="shared" ref="AB57:AB75" si="13">F33*F105</f>
        <v>0</v>
      </c>
      <c r="AC57" s="22">
        <f t="shared" ref="AC57:AC75" si="14">G33*G105</f>
        <v>0</v>
      </c>
      <c r="AD57" s="22">
        <f t="shared" ref="AD57:AD75" si="15">H33*H105</f>
        <v>0</v>
      </c>
      <c r="AE57" s="22">
        <f t="shared" ref="AE57:AE75" si="16">I33*I105</f>
        <v>0</v>
      </c>
      <c r="AF57" s="22">
        <f t="shared" ref="AF57:AF75" si="17">J33*J105</f>
        <v>0</v>
      </c>
      <c r="AG57" s="22">
        <f t="shared" ref="AG57:AG75" si="18">K33*K105</f>
        <v>0</v>
      </c>
      <c r="AH57" s="22">
        <f t="shared" ref="AH57:AH75" si="19">L33*L105</f>
        <v>0</v>
      </c>
      <c r="AI57" s="22">
        <f t="shared" ref="AI57:AI75" si="20">M33*M105</f>
        <v>0</v>
      </c>
      <c r="AJ57" s="22">
        <f t="shared" ref="AJ57:AJ75" si="21">N33*N105</f>
        <v>0.17411239489546831</v>
      </c>
      <c r="AK57" s="22">
        <f t="shared" ref="AK57:AK75" si="22">O33*O105</f>
        <v>0</v>
      </c>
      <c r="AL57" s="22">
        <f t="shared" ref="AL57:AL75" si="23">P33*P105</f>
        <v>0</v>
      </c>
      <c r="AM57" s="22">
        <f t="shared" ref="AM57:AM75" si="24">Q33*Q105</f>
        <v>0</v>
      </c>
      <c r="AN57" s="22">
        <f t="shared" ref="AN57:AN75" si="25">R33*R105</f>
        <v>0</v>
      </c>
      <c r="AO57" s="22">
        <f t="shared" ref="AO57:AO75" si="26">S33*S105</f>
        <v>0</v>
      </c>
      <c r="AP57" s="22">
        <f t="shared" ref="AP57:AP75" si="27">T33*T105</f>
        <v>0</v>
      </c>
      <c r="AQ57" s="22">
        <f t="shared" ref="AQ57:AQ75" si="28">U33*U105</f>
        <v>0</v>
      </c>
      <c r="AR57" s="22">
        <f t="shared" ref="AR57:AR75" si="29">V33*V105</f>
        <v>0</v>
      </c>
    </row>
    <row r="58" spans="1:44" x14ac:dyDescent="0.25">
      <c r="A58" s="29">
        <f t="shared" si="8"/>
        <v>0</v>
      </c>
      <c r="B58" s="19">
        <v>3</v>
      </c>
      <c r="C58" s="22">
        <f t="shared" ref="C58:V58" si="30">IF(SUM(C$32:C$51)&gt;1,$Y$4,1*$Y$3)+IF(SUM($C34:$V34)&gt;1,$Y$4,1*$Y$3)+C106+$Y$5+$Y$8</f>
        <v>18.112470771670722</v>
      </c>
      <c r="D58" s="22">
        <f t="shared" si="30"/>
        <v>18.061002400809866</v>
      </c>
      <c r="E58" s="22">
        <f t="shared" si="30"/>
        <v>18.077101239437969</v>
      </c>
      <c r="F58" s="22">
        <f t="shared" si="30"/>
        <v>18.092712870585707</v>
      </c>
      <c r="G58" s="22">
        <f t="shared" si="30"/>
        <v>18.065006228389318</v>
      </c>
      <c r="H58" s="22">
        <f t="shared" si="30"/>
        <v>18.083929102509686</v>
      </c>
      <c r="I58" s="22">
        <f t="shared" si="30"/>
        <v>18.129759276635266</v>
      </c>
      <c r="J58" s="22">
        <f t="shared" si="30"/>
        <v>18.05507994310009</v>
      </c>
      <c r="K58" s="22">
        <f t="shared" si="30"/>
        <v>18.086423148301101</v>
      </c>
      <c r="L58" s="22">
        <f t="shared" si="30"/>
        <v>18.057936835638458</v>
      </c>
      <c r="M58" s="22">
        <f t="shared" si="30"/>
        <v>18.123649534507248</v>
      </c>
      <c r="N58" s="22">
        <f t="shared" si="30"/>
        <v>18.129759276635266</v>
      </c>
      <c r="O58" s="22">
        <f t="shared" si="30"/>
        <v>18.152532209115137</v>
      </c>
      <c r="P58" s="22">
        <f t="shared" si="30"/>
        <v>18.183765530172529</v>
      </c>
      <c r="Q58" s="22">
        <f t="shared" si="30"/>
        <v>18.065249168701929</v>
      </c>
      <c r="R58" s="22">
        <f t="shared" si="30"/>
        <v>18.059804593130035</v>
      </c>
      <c r="S58" s="22">
        <f t="shared" si="30"/>
        <v>18.152532209115137</v>
      </c>
      <c r="T58" s="22">
        <f t="shared" si="30"/>
        <v>18.067548493680246</v>
      </c>
      <c r="U58" s="22">
        <f t="shared" si="30"/>
        <v>18.112470771670722</v>
      </c>
      <c r="V58" s="22">
        <f t="shared" si="30"/>
        <v>18.102075589836534</v>
      </c>
      <c r="W58" s="19"/>
      <c r="X58" s="19"/>
      <c r="Y58" s="22">
        <f t="shared" si="10"/>
        <v>0.12389934309929541</v>
      </c>
      <c r="Z58" s="22">
        <f t="shared" si="11"/>
        <v>0</v>
      </c>
      <c r="AA58" s="22">
        <f t="shared" si="12"/>
        <v>0</v>
      </c>
      <c r="AB58" s="22">
        <f t="shared" si="13"/>
        <v>0</v>
      </c>
      <c r="AC58" s="22">
        <f t="shared" si="14"/>
        <v>0</v>
      </c>
      <c r="AD58" s="22">
        <f t="shared" si="15"/>
        <v>0</v>
      </c>
      <c r="AE58" s="22">
        <f t="shared" si="16"/>
        <v>0</v>
      </c>
      <c r="AF58" s="22">
        <f t="shared" si="17"/>
        <v>0</v>
      </c>
      <c r="AG58" s="22">
        <f t="shared" si="18"/>
        <v>0</v>
      </c>
      <c r="AH58" s="22">
        <f t="shared" si="19"/>
        <v>0</v>
      </c>
      <c r="AI58" s="22">
        <f t="shared" si="20"/>
        <v>0</v>
      </c>
      <c r="AJ58" s="22">
        <f t="shared" si="21"/>
        <v>0</v>
      </c>
      <c r="AK58" s="22">
        <f t="shared" si="22"/>
        <v>0</v>
      </c>
      <c r="AL58" s="22">
        <f t="shared" si="23"/>
        <v>0</v>
      </c>
      <c r="AM58" s="22">
        <f t="shared" si="24"/>
        <v>0</v>
      </c>
      <c r="AN58" s="22">
        <f t="shared" si="25"/>
        <v>0</v>
      </c>
      <c r="AO58" s="22">
        <f t="shared" si="26"/>
        <v>0</v>
      </c>
      <c r="AP58" s="22">
        <f t="shared" si="27"/>
        <v>0</v>
      </c>
      <c r="AQ58" s="22">
        <f t="shared" si="28"/>
        <v>0</v>
      </c>
      <c r="AR58" s="22">
        <f t="shared" si="29"/>
        <v>0</v>
      </c>
    </row>
    <row r="59" spans="1:44" x14ac:dyDescent="0.25">
      <c r="A59" s="29">
        <f t="shared" si="8"/>
        <v>0</v>
      </c>
      <c r="B59" s="19">
        <v>4</v>
      </c>
      <c r="C59" s="22">
        <f t="shared" ref="C59:V59" si="31">IF(SUM(C$32:C$51)&gt;1,$Y$4,1*$Y$3)+IF(SUM($C35:$V35)&gt;1,$Y$4,1*$Y$3)+C107+$Y$5+$Y$8</f>
        <v>18.080318799051959</v>
      </c>
      <c r="D59" s="22">
        <f t="shared" si="31"/>
        <v>18.096723835306282</v>
      </c>
      <c r="E59" s="22">
        <f t="shared" si="31"/>
        <v>18.048054915723402</v>
      </c>
      <c r="F59" s="22">
        <f t="shared" si="31"/>
        <v>18.152532209115137</v>
      </c>
      <c r="G59" s="22">
        <f t="shared" si="31"/>
        <v>18.134963910233402</v>
      </c>
      <c r="H59" s="22">
        <f t="shared" si="31"/>
        <v>18.228824501923466</v>
      </c>
      <c r="I59" s="22">
        <f t="shared" si="31"/>
        <v>18.07319775466101</v>
      </c>
      <c r="J59" s="22">
        <f t="shared" si="31"/>
        <v>18.129759276635266</v>
      </c>
      <c r="K59" s="22">
        <f t="shared" si="31"/>
        <v>18.297588422946372</v>
      </c>
      <c r="L59" s="22">
        <f t="shared" si="31"/>
        <v>18.110357753099425</v>
      </c>
      <c r="M59" s="22">
        <f t="shared" si="31"/>
        <v>18.15523809523809</v>
      </c>
      <c r="N59" s="22">
        <f t="shared" si="31"/>
        <v>18.086423148301101</v>
      </c>
      <c r="O59" s="22">
        <f t="shared" si="31"/>
        <v>18.077101239437969</v>
      </c>
      <c r="P59" s="22">
        <f t="shared" si="31"/>
        <v>18.098919205888588</v>
      </c>
      <c r="Q59" s="22">
        <f t="shared" si="31"/>
        <v>18.055719574349808</v>
      </c>
      <c r="R59" s="22">
        <f t="shared" si="31"/>
        <v>18.152532209115137</v>
      </c>
      <c r="S59" s="22">
        <f t="shared" si="31"/>
        <v>18.092712870585707</v>
      </c>
      <c r="T59" s="22">
        <f t="shared" si="31"/>
        <v>18.077872778349924</v>
      </c>
      <c r="U59" s="22">
        <f t="shared" si="31"/>
        <v>18.134963910233402</v>
      </c>
      <c r="V59" s="22">
        <f t="shared" si="31"/>
        <v>18.145184457397658</v>
      </c>
      <c r="W59" s="19"/>
      <c r="X59" s="19"/>
      <c r="Y59" s="22">
        <f t="shared" si="10"/>
        <v>0</v>
      </c>
      <c r="Z59" s="22">
        <f t="shared" si="11"/>
        <v>0</v>
      </c>
      <c r="AA59" s="22">
        <f t="shared" si="12"/>
        <v>0</v>
      </c>
      <c r="AB59" s="22">
        <f t="shared" si="13"/>
        <v>0</v>
      </c>
      <c r="AC59" s="22">
        <f t="shared" si="14"/>
        <v>0</v>
      </c>
      <c r="AD59" s="22">
        <f t="shared" si="15"/>
        <v>0</v>
      </c>
      <c r="AE59" s="22">
        <f t="shared" si="16"/>
        <v>8.4626326089585924E-2</v>
      </c>
      <c r="AF59" s="22">
        <f t="shared" si="17"/>
        <v>0</v>
      </c>
      <c r="AG59" s="22">
        <f t="shared" si="18"/>
        <v>0</v>
      </c>
      <c r="AH59" s="22">
        <f t="shared" si="19"/>
        <v>0</v>
      </c>
      <c r="AI59" s="22">
        <f t="shared" si="20"/>
        <v>0</v>
      </c>
      <c r="AJ59" s="22">
        <f t="shared" si="21"/>
        <v>0</v>
      </c>
      <c r="AK59" s="22">
        <f t="shared" si="22"/>
        <v>0</v>
      </c>
      <c r="AL59" s="22">
        <f t="shared" si="23"/>
        <v>0</v>
      </c>
      <c r="AM59" s="22">
        <f t="shared" si="24"/>
        <v>0</v>
      </c>
      <c r="AN59" s="22">
        <f t="shared" si="25"/>
        <v>0</v>
      </c>
      <c r="AO59" s="22">
        <f t="shared" si="26"/>
        <v>0</v>
      </c>
      <c r="AP59" s="22">
        <f t="shared" si="27"/>
        <v>0</v>
      </c>
      <c r="AQ59" s="22">
        <f t="shared" si="28"/>
        <v>0</v>
      </c>
      <c r="AR59" s="22">
        <f t="shared" si="29"/>
        <v>0</v>
      </c>
    </row>
    <row r="60" spans="1:44" x14ac:dyDescent="0.25">
      <c r="A60" s="29">
        <f t="shared" si="8"/>
        <v>0</v>
      </c>
      <c r="B60" s="19">
        <v>5</v>
      </c>
      <c r="C60" s="22">
        <f t="shared" ref="C60:V60" si="32">IF(SUM(C$32:C$51)&gt;1,$Y$4,1*$Y$3)+IF(SUM($C36:$V36)&gt;1,$Y$4,1*$Y$3)+C108+$Y$5+$Y$8</f>
        <v>18.062156687695325</v>
      </c>
      <c r="D60" s="22">
        <f t="shared" si="32"/>
        <v>18.049385934725027</v>
      </c>
      <c r="E60" s="22">
        <f t="shared" si="32"/>
        <v>18.046292060275057</v>
      </c>
      <c r="F60" s="22">
        <f t="shared" si="32"/>
        <v>18.169478739805719</v>
      </c>
      <c r="G60" s="22">
        <f t="shared" si="32"/>
        <v>18.093672032528954</v>
      </c>
      <c r="H60" s="22">
        <f t="shared" si="32"/>
        <v>18.114133410436519</v>
      </c>
      <c r="I60" s="22">
        <f t="shared" si="32"/>
        <v>18.209052637782968</v>
      </c>
      <c r="J60" s="22">
        <f t="shared" si="32"/>
        <v>18.058945173894902</v>
      </c>
      <c r="K60" s="22">
        <f t="shared" si="32"/>
        <v>18.080106983654908</v>
      </c>
      <c r="L60" s="22">
        <f t="shared" si="32"/>
        <v>18.051399572545133</v>
      </c>
      <c r="M60" s="22">
        <f t="shared" si="32"/>
        <v>18.243968221561111</v>
      </c>
      <c r="N60" s="22">
        <f t="shared" si="32"/>
        <v>18.067952803138791</v>
      </c>
      <c r="O60" s="22">
        <f t="shared" si="32"/>
        <v>18.071435394090678</v>
      </c>
      <c r="P60" s="22">
        <f t="shared" si="32"/>
        <v>18.082753855137934</v>
      </c>
      <c r="Q60" s="22">
        <f t="shared" si="32"/>
        <v>18.042438641808012</v>
      </c>
      <c r="R60" s="22">
        <f t="shared" si="32"/>
        <v>18.069063008948227</v>
      </c>
      <c r="S60" s="22">
        <f t="shared" si="32"/>
        <v>18.375997315294217</v>
      </c>
      <c r="T60" s="22">
        <f t="shared" si="32"/>
        <v>18.04777718834109</v>
      </c>
      <c r="U60" s="22">
        <f t="shared" si="32"/>
        <v>18.270300475261678</v>
      </c>
      <c r="V60" s="22">
        <f t="shared" si="32"/>
        <v>18.209052637782968</v>
      </c>
      <c r="W60" s="19"/>
      <c r="X60" s="19"/>
      <c r="Y60" s="22">
        <f t="shared" si="10"/>
        <v>0</v>
      </c>
      <c r="Z60" s="22">
        <f t="shared" si="11"/>
        <v>0</v>
      </c>
      <c r="AA60" s="22">
        <f t="shared" si="12"/>
        <v>0</v>
      </c>
      <c r="AB60" s="22">
        <f t="shared" si="13"/>
        <v>0</v>
      </c>
      <c r="AC60" s="22">
        <f t="shared" si="14"/>
        <v>0</v>
      </c>
      <c r="AD60" s="22">
        <f t="shared" si="15"/>
        <v>0</v>
      </c>
      <c r="AE60" s="22">
        <f t="shared" si="16"/>
        <v>0</v>
      </c>
      <c r="AF60" s="22">
        <f t="shared" si="17"/>
        <v>0</v>
      </c>
      <c r="AG60" s="22">
        <f t="shared" si="18"/>
        <v>0</v>
      </c>
      <c r="AH60" s="22">
        <f t="shared" si="19"/>
        <v>0</v>
      </c>
      <c r="AI60" s="22">
        <f t="shared" si="20"/>
        <v>0</v>
      </c>
      <c r="AJ60" s="22">
        <f t="shared" si="21"/>
        <v>0</v>
      </c>
      <c r="AK60" s="22">
        <f t="shared" si="22"/>
        <v>0</v>
      </c>
      <c r="AL60" s="22">
        <f t="shared" si="23"/>
        <v>0</v>
      </c>
      <c r="AM60" s="22">
        <f t="shared" si="24"/>
        <v>0</v>
      </c>
      <c r="AN60" s="22">
        <f t="shared" si="25"/>
        <v>0</v>
      </c>
      <c r="AO60" s="22">
        <f t="shared" si="26"/>
        <v>0</v>
      </c>
      <c r="AP60" s="22">
        <f t="shared" si="27"/>
        <v>0</v>
      </c>
      <c r="AQ60" s="22">
        <f t="shared" si="28"/>
        <v>0</v>
      </c>
      <c r="AR60" s="22">
        <f t="shared" si="29"/>
        <v>0</v>
      </c>
    </row>
    <row r="61" spans="1:44" x14ac:dyDescent="0.25">
      <c r="A61" s="29">
        <f t="shared" si="8"/>
        <v>0</v>
      </c>
      <c r="B61" s="19">
        <v>6</v>
      </c>
      <c r="C61" s="22">
        <f t="shared" ref="C61:V61" si="33">IF(SUM(C$32:C$51)&gt;1,$Y$4,1*$Y$3)+IF(SUM($C37:$V37)&gt;1,$Y$4,1*$Y$3)+C109+$Y$5+$Y$8</f>
        <v>18.036650686559209</v>
      </c>
      <c r="D61" s="22">
        <f t="shared" si="33"/>
        <v>18.048054915723402</v>
      </c>
      <c r="E61" s="22">
        <f t="shared" si="33"/>
        <v>18.026147759792387</v>
      </c>
      <c r="F61" s="22">
        <f t="shared" si="33"/>
        <v>18.096723835306282</v>
      </c>
      <c r="G61" s="22">
        <f t="shared" si="33"/>
        <v>18.17131542620298</v>
      </c>
      <c r="H61" s="22">
        <f t="shared" si="33"/>
        <v>18.110357753099425</v>
      </c>
      <c r="I61" s="22">
        <f t="shared" si="33"/>
        <v>18.047287129906898</v>
      </c>
      <c r="J61" s="22">
        <f t="shared" si="33"/>
        <v>18.098919205888588</v>
      </c>
      <c r="K61" s="22">
        <f t="shared" si="33"/>
        <v>18.07319775466101</v>
      </c>
      <c r="L61" s="22">
        <f t="shared" si="33"/>
        <v>18.058298344187957</v>
      </c>
      <c r="M61" s="22">
        <f t="shared" si="33"/>
        <v>18.075981674024302</v>
      </c>
      <c r="N61" s="22">
        <f t="shared" si="33"/>
        <v>18.038310365864124</v>
      </c>
      <c r="O61" s="22">
        <f t="shared" si="33"/>
        <v>18.036190476190473</v>
      </c>
      <c r="P61" s="22">
        <f t="shared" si="33"/>
        <v>18.041750206466251</v>
      </c>
      <c r="Q61" s="22">
        <f t="shared" si="33"/>
        <v>18.029220434762813</v>
      </c>
      <c r="R61" s="22">
        <f t="shared" si="33"/>
        <v>18.125098488067238</v>
      </c>
      <c r="S61" s="22">
        <f t="shared" si="33"/>
        <v>18.054612311102737</v>
      </c>
      <c r="T61" s="22">
        <f t="shared" si="33"/>
        <v>18.037989813562405</v>
      </c>
      <c r="U61" s="22">
        <f t="shared" si="33"/>
        <v>18.077872778349924</v>
      </c>
      <c r="V61" s="22">
        <f t="shared" si="33"/>
        <v>18.086423148301101</v>
      </c>
      <c r="W61" s="19"/>
      <c r="X61" s="19"/>
      <c r="Y61" s="22">
        <f t="shared" si="10"/>
        <v>0</v>
      </c>
      <c r="Z61" s="22">
        <f t="shared" si="11"/>
        <v>0</v>
      </c>
      <c r="AA61" s="22">
        <f t="shared" si="12"/>
        <v>0</v>
      </c>
      <c r="AB61" s="22">
        <f t="shared" si="13"/>
        <v>0</v>
      </c>
      <c r="AC61" s="22">
        <f t="shared" si="14"/>
        <v>0</v>
      </c>
      <c r="AD61" s="22">
        <f t="shared" si="15"/>
        <v>0</v>
      </c>
      <c r="AE61" s="22">
        <f t="shared" si="16"/>
        <v>0</v>
      </c>
      <c r="AF61" s="22">
        <f t="shared" si="17"/>
        <v>0</v>
      </c>
      <c r="AG61" s="22">
        <f t="shared" si="18"/>
        <v>0</v>
      </c>
      <c r="AH61" s="22">
        <f t="shared" si="19"/>
        <v>0</v>
      </c>
      <c r="AI61" s="22">
        <f t="shared" si="20"/>
        <v>0</v>
      </c>
      <c r="AJ61" s="22">
        <f t="shared" si="21"/>
        <v>0</v>
      </c>
      <c r="AK61" s="22">
        <f t="shared" si="22"/>
        <v>0</v>
      </c>
      <c r="AL61" s="22">
        <f t="shared" si="23"/>
        <v>0</v>
      </c>
      <c r="AM61" s="22">
        <f t="shared" si="24"/>
        <v>0</v>
      </c>
      <c r="AN61" s="22">
        <f t="shared" si="25"/>
        <v>0</v>
      </c>
      <c r="AO61" s="22">
        <f t="shared" si="26"/>
        <v>0</v>
      </c>
      <c r="AP61" s="22">
        <f t="shared" si="27"/>
        <v>0</v>
      </c>
      <c r="AQ61" s="22">
        <f t="shared" si="28"/>
        <v>0</v>
      </c>
      <c r="AR61" s="22">
        <f t="shared" si="29"/>
        <v>9.7851719729677239E-2</v>
      </c>
    </row>
    <row r="62" spans="1:44" x14ac:dyDescent="0.25">
      <c r="A62" s="29">
        <f t="shared" si="8"/>
        <v>0</v>
      </c>
      <c r="B62" s="19">
        <v>7</v>
      </c>
      <c r="C62" s="22">
        <f t="shared" ref="C62:V62" si="34">IF(SUM(C$32:C$51)&gt;1,$Y$4,1*$Y$3)+IF(SUM($C38:$V38)&gt;1,$Y$4,1*$Y$3)+C110+$Y$5+$Y$8</f>
        <v>18.047046712939689</v>
      </c>
      <c r="D62" s="22">
        <f t="shared" si="34"/>
        <v>18.055198448935684</v>
      </c>
      <c r="E62" s="22">
        <f t="shared" si="34"/>
        <v>18.032878708291669</v>
      </c>
      <c r="F62" s="22">
        <f t="shared" si="34"/>
        <v>18.204086117929812</v>
      </c>
      <c r="G62" s="22">
        <f t="shared" si="34"/>
        <v>18.460707383571005</v>
      </c>
      <c r="H62" s="22">
        <f t="shared" si="34"/>
        <v>18.21823991308359</v>
      </c>
      <c r="I62" s="22">
        <f t="shared" si="34"/>
        <v>18.068571428571424</v>
      </c>
      <c r="J62" s="22">
        <f t="shared" si="34"/>
        <v>18.101869983280956</v>
      </c>
      <c r="K62" s="22">
        <f t="shared" si="34"/>
        <v>18.097987678349966</v>
      </c>
      <c r="L62" s="22">
        <f t="shared" si="34"/>
        <v>18.064945863149379</v>
      </c>
      <c r="M62" s="22">
        <f t="shared" si="34"/>
        <v>18.134506765574727</v>
      </c>
      <c r="N62" s="22">
        <f t="shared" si="34"/>
        <v>18.049901451572556</v>
      </c>
      <c r="O62" s="22">
        <f t="shared" si="34"/>
        <v>18.047694641506368</v>
      </c>
      <c r="P62" s="22">
        <f t="shared" si="34"/>
        <v>18.056170446928803</v>
      </c>
      <c r="Q62" s="22">
        <f t="shared" si="34"/>
        <v>18.035402965019212</v>
      </c>
      <c r="R62" s="22">
        <f t="shared" si="34"/>
        <v>18.140312583736698</v>
      </c>
      <c r="S62" s="22">
        <f t="shared" si="34"/>
        <v>18.08333582289022</v>
      </c>
      <c r="T62" s="22">
        <f t="shared" si="34"/>
        <v>18.045322637067681</v>
      </c>
      <c r="U62" s="22">
        <f t="shared" si="34"/>
        <v>18.140312583736698</v>
      </c>
      <c r="V62" s="22">
        <f t="shared" si="34"/>
        <v>18.166831785541621</v>
      </c>
      <c r="W62" s="19"/>
      <c r="X62" s="19"/>
      <c r="Y62" s="22">
        <f t="shared" si="10"/>
        <v>0</v>
      </c>
      <c r="Z62" s="22">
        <f t="shared" si="11"/>
        <v>0</v>
      </c>
      <c r="AA62" s="22">
        <f t="shared" si="12"/>
        <v>0</v>
      </c>
      <c r="AB62" s="22">
        <f t="shared" si="13"/>
        <v>0</v>
      </c>
      <c r="AC62" s="22">
        <f t="shared" si="14"/>
        <v>0</v>
      </c>
      <c r="AD62" s="22">
        <f t="shared" si="15"/>
        <v>0</v>
      </c>
      <c r="AE62" s="22">
        <f t="shared" si="16"/>
        <v>0</v>
      </c>
      <c r="AF62" s="22">
        <f t="shared" si="17"/>
        <v>0</v>
      </c>
      <c r="AG62" s="22">
        <f t="shared" si="18"/>
        <v>0</v>
      </c>
      <c r="AH62" s="22">
        <f t="shared" si="19"/>
        <v>0</v>
      </c>
      <c r="AI62" s="22">
        <f t="shared" si="20"/>
        <v>0</v>
      </c>
      <c r="AJ62" s="22">
        <f t="shared" si="21"/>
        <v>0</v>
      </c>
      <c r="AK62" s="22">
        <f t="shared" si="22"/>
        <v>0</v>
      </c>
      <c r="AL62" s="22">
        <f t="shared" si="23"/>
        <v>0</v>
      </c>
      <c r="AM62" s="22">
        <f t="shared" si="24"/>
        <v>0</v>
      </c>
      <c r="AN62" s="22">
        <f t="shared" si="25"/>
        <v>0</v>
      </c>
      <c r="AO62" s="22">
        <f t="shared" si="26"/>
        <v>0</v>
      </c>
      <c r="AP62" s="22">
        <f t="shared" si="27"/>
        <v>0</v>
      </c>
      <c r="AQ62" s="22">
        <f t="shared" si="28"/>
        <v>0</v>
      </c>
      <c r="AR62" s="22">
        <f t="shared" si="29"/>
        <v>0</v>
      </c>
    </row>
    <row r="63" spans="1:44" x14ac:dyDescent="0.25">
      <c r="A63" s="29">
        <f t="shared" si="8"/>
        <v>0</v>
      </c>
      <c r="B63" s="19">
        <v>8</v>
      </c>
      <c r="C63" s="22">
        <f t="shared" ref="C63:V63" si="35">IF(SUM(C$32:C$51)&gt;1,$Y$4,1*$Y$3)+IF(SUM($C39:$V39)&gt;1,$Y$4,1*$Y$3)+C111+$Y$5+$Y$8</f>
        <v>18.044750264540887</v>
      </c>
      <c r="D63" s="22">
        <f t="shared" si="35"/>
        <v>18.066181869384295</v>
      </c>
      <c r="E63" s="22">
        <f t="shared" si="35"/>
        <v>18.030418549992753</v>
      </c>
      <c r="F63" s="22">
        <f t="shared" si="35"/>
        <v>18.102699485079949</v>
      </c>
      <c r="G63" s="22">
        <f t="shared" si="35"/>
        <v>18.187333977695967</v>
      </c>
      <c r="H63" s="22">
        <f t="shared" si="35"/>
        <v>18.142417582417579</v>
      </c>
      <c r="I63" s="22">
        <f t="shared" si="35"/>
        <v>18.04813901529387</v>
      </c>
      <c r="J63" s="22">
        <f t="shared" si="35"/>
        <v>18.187333977695967</v>
      </c>
      <c r="K63" s="22">
        <f t="shared" si="35"/>
        <v>18.107152707348554</v>
      </c>
      <c r="L63" s="22">
        <f t="shared" si="35"/>
        <v>18.085276018091829</v>
      </c>
      <c r="M63" s="22">
        <f t="shared" si="35"/>
        <v>18.08333582289022</v>
      </c>
      <c r="N63" s="22">
        <f t="shared" si="35"/>
        <v>18.046626645881581</v>
      </c>
      <c r="O63" s="22">
        <f t="shared" si="35"/>
        <v>18.04279323745028</v>
      </c>
      <c r="P63" s="22">
        <f t="shared" si="35"/>
        <v>18.050273519019832</v>
      </c>
      <c r="Q63" s="22">
        <f t="shared" si="35"/>
        <v>18.035784809668314</v>
      </c>
      <c r="R63" s="22">
        <f t="shared" si="35"/>
        <v>18.27428571428571</v>
      </c>
      <c r="S63" s="22">
        <f t="shared" si="35"/>
        <v>18.0568431913998</v>
      </c>
      <c r="T63" s="22">
        <f t="shared" si="35"/>
        <v>18.049059356009547</v>
      </c>
      <c r="U63" s="22">
        <f t="shared" si="35"/>
        <v>18.081957422345944</v>
      </c>
      <c r="V63" s="22">
        <f t="shared" si="35"/>
        <v>18.09132391492739</v>
      </c>
      <c r="W63" s="19"/>
      <c r="X63" s="19"/>
      <c r="Y63" s="22">
        <f t="shared" si="10"/>
        <v>0</v>
      </c>
      <c r="Z63" s="22">
        <f t="shared" si="11"/>
        <v>0</v>
      </c>
      <c r="AA63" s="22">
        <f t="shared" si="12"/>
        <v>0</v>
      </c>
      <c r="AB63" s="22">
        <f t="shared" si="13"/>
        <v>0</v>
      </c>
      <c r="AC63" s="22">
        <f t="shared" si="14"/>
        <v>0</v>
      </c>
      <c r="AD63" s="22">
        <f t="shared" si="15"/>
        <v>0</v>
      </c>
      <c r="AE63" s="22">
        <f t="shared" si="16"/>
        <v>0</v>
      </c>
      <c r="AF63" s="22">
        <f t="shared" si="17"/>
        <v>0</v>
      </c>
      <c r="AG63" s="22">
        <f t="shared" si="18"/>
        <v>0</v>
      </c>
      <c r="AH63" s="22">
        <f t="shared" si="19"/>
        <v>0</v>
      </c>
      <c r="AI63" s="22">
        <f t="shared" si="20"/>
        <v>0</v>
      </c>
      <c r="AJ63" s="22">
        <f t="shared" si="21"/>
        <v>0</v>
      </c>
      <c r="AK63" s="22">
        <f t="shared" si="22"/>
        <v>0</v>
      </c>
      <c r="AL63" s="22">
        <f t="shared" si="23"/>
        <v>0</v>
      </c>
      <c r="AM63" s="22">
        <f t="shared" si="24"/>
        <v>0</v>
      </c>
      <c r="AN63" s="22">
        <f t="shared" si="25"/>
        <v>0</v>
      </c>
      <c r="AO63" s="22">
        <f t="shared" si="26"/>
        <v>0</v>
      </c>
      <c r="AP63" s="22">
        <f t="shared" si="27"/>
        <v>0</v>
      </c>
      <c r="AQ63" s="22">
        <f t="shared" si="28"/>
        <v>0</v>
      </c>
      <c r="AR63" s="22">
        <f t="shared" si="29"/>
        <v>0</v>
      </c>
    </row>
    <row r="64" spans="1:44" x14ac:dyDescent="0.25">
      <c r="A64" s="29">
        <f t="shared" si="8"/>
        <v>0</v>
      </c>
      <c r="B64" s="19">
        <v>9</v>
      </c>
      <c r="C64" s="22">
        <f t="shared" ref="C64:V64" si="36">IF(SUM(C$32:C$51)&gt;1,$Y$4,1*$Y$3)+IF(SUM($C40:$V40)&gt;1,$Y$4,1*$Y$3)+C112+$Y$5+$Y$8</f>
        <v>18.036650686559209</v>
      </c>
      <c r="D64" s="22">
        <f t="shared" si="36"/>
        <v>18.048054915723402</v>
      </c>
      <c r="E64" s="22">
        <f t="shared" si="36"/>
        <v>18.026147759792387</v>
      </c>
      <c r="F64" s="22">
        <f t="shared" si="36"/>
        <v>18.096723835306282</v>
      </c>
      <c r="G64" s="22">
        <f t="shared" si="36"/>
        <v>18.17131542620298</v>
      </c>
      <c r="H64" s="22">
        <f t="shared" si="36"/>
        <v>18.110357753099425</v>
      </c>
      <c r="I64" s="22">
        <f t="shared" si="36"/>
        <v>18.047287129906898</v>
      </c>
      <c r="J64" s="22">
        <f t="shared" si="36"/>
        <v>18.098919205888588</v>
      </c>
      <c r="K64" s="22">
        <f t="shared" si="36"/>
        <v>18.07319775466101</v>
      </c>
      <c r="L64" s="22">
        <f t="shared" si="36"/>
        <v>18.058298344187957</v>
      </c>
      <c r="M64" s="22">
        <f t="shared" si="36"/>
        <v>18.075981674024302</v>
      </c>
      <c r="N64" s="22">
        <f t="shared" si="36"/>
        <v>18.038310365864124</v>
      </c>
      <c r="O64" s="22">
        <f t="shared" si="36"/>
        <v>18.036190476190473</v>
      </c>
      <c r="P64" s="22">
        <f t="shared" si="36"/>
        <v>18.041750206466251</v>
      </c>
      <c r="Q64" s="22">
        <f t="shared" si="36"/>
        <v>18.029220434762813</v>
      </c>
      <c r="R64" s="22">
        <f t="shared" si="36"/>
        <v>18.125098488067238</v>
      </c>
      <c r="S64" s="22">
        <f t="shared" si="36"/>
        <v>18.054612311102737</v>
      </c>
      <c r="T64" s="22">
        <f t="shared" si="36"/>
        <v>18.037989813562405</v>
      </c>
      <c r="U64" s="22">
        <f t="shared" si="36"/>
        <v>18.077872778349924</v>
      </c>
      <c r="V64" s="22">
        <f t="shared" si="36"/>
        <v>18.086423148301101</v>
      </c>
      <c r="W64" s="19"/>
      <c r="X64" s="19"/>
      <c r="Y64" s="22">
        <f t="shared" si="10"/>
        <v>0</v>
      </c>
      <c r="Z64" s="22">
        <f t="shared" si="11"/>
        <v>0</v>
      </c>
      <c r="AA64" s="22">
        <f t="shared" si="12"/>
        <v>0</v>
      </c>
      <c r="AB64" s="22">
        <f t="shared" si="13"/>
        <v>0</v>
      </c>
      <c r="AC64" s="22">
        <f t="shared" si="14"/>
        <v>0</v>
      </c>
      <c r="AD64" s="22">
        <f t="shared" si="15"/>
        <v>0</v>
      </c>
      <c r="AE64" s="22">
        <f t="shared" si="16"/>
        <v>0</v>
      </c>
      <c r="AF64" s="22">
        <f t="shared" si="17"/>
        <v>0.11034777731716484</v>
      </c>
      <c r="AG64" s="22">
        <f t="shared" si="18"/>
        <v>0</v>
      </c>
      <c r="AH64" s="22">
        <f t="shared" si="19"/>
        <v>0</v>
      </c>
      <c r="AI64" s="22">
        <f t="shared" si="20"/>
        <v>0</v>
      </c>
      <c r="AJ64" s="22">
        <f t="shared" si="21"/>
        <v>0</v>
      </c>
      <c r="AK64" s="22">
        <f t="shared" si="22"/>
        <v>0</v>
      </c>
      <c r="AL64" s="22">
        <f t="shared" si="23"/>
        <v>0</v>
      </c>
      <c r="AM64" s="22">
        <f t="shared" si="24"/>
        <v>0</v>
      </c>
      <c r="AN64" s="22">
        <f t="shared" si="25"/>
        <v>0</v>
      </c>
      <c r="AO64" s="22">
        <f t="shared" si="26"/>
        <v>0</v>
      </c>
      <c r="AP64" s="22">
        <f t="shared" si="27"/>
        <v>0</v>
      </c>
      <c r="AQ64" s="22">
        <f t="shared" si="28"/>
        <v>0</v>
      </c>
      <c r="AR64" s="22">
        <f t="shared" si="29"/>
        <v>0</v>
      </c>
    </row>
    <row r="65" spans="1:44" x14ac:dyDescent="0.25">
      <c r="A65" s="29">
        <f t="shared" si="8"/>
        <v>0</v>
      </c>
      <c r="B65" s="19">
        <v>10</v>
      </c>
      <c r="C65" s="22">
        <f t="shared" ref="C65:V65" si="37">IF(SUM(C$32:C$51)&gt;1,$Y$4,1*$Y$3)+IF(SUM($C41:$V41)&gt;1,$Y$4,1*$Y$3)+C113+$Y$5+$Y$8</f>
        <v>18.044750264540887</v>
      </c>
      <c r="D65" s="22">
        <f t="shared" si="37"/>
        <v>18.066181869384295</v>
      </c>
      <c r="E65" s="22">
        <f t="shared" si="37"/>
        <v>18.030418549992753</v>
      </c>
      <c r="F65" s="22">
        <f t="shared" si="37"/>
        <v>18.102699485079949</v>
      </c>
      <c r="G65" s="22">
        <f t="shared" si="37"/>
        <v>18.187333977695967</v>
      </c>
      <c r="H65" s="22">
        <f t="shared" si="37"/>
        <v>18.142417582417579</v>
      </c>
      <c r="I65" s="22">
        <f t="shared" si="37"/>
        <v>18.04813901529387</v>
      </c>
      <c r="J65" s="22">
        <f t="shared" si="37"/>
        <v>18.187333977695967</v>
      </c>
      <c r="K65" s="22">
        <f t="shared" si="37"/>
        <v>18.107152707348554</v>
      </c>
      <c r="L65" s="22">
        <f t="shared" si="37"/>
        <v>18.085276018091829</v>
      </c>
      <c r="M65" s="22">
        <f t="shared" si="37"/>
        <v>18.08333582289022</v>
      </c>
      <c r="N65" s="22">
        <f t="shared" si="37"/>
        <v>18.046626645881581</v>
      </c>
      <c r="O65" s="22">
        <f t="shared" si="37"/>
        <v>18.04279323745028</v>
      </c>
      <c r="P65" s="22">
        <f t="shared" si="37"/>
        <v>18.050273519019832</v>
      </c>
      <c r="Q65" s="22">
        <f t="shared" si="37"/>
        <v>18.035784809668314</v>
      </c>
      <c r="R65" s="22">
        <f t="shared" si="37"/>
        <v>18.27428571428571</v>
      </c>
      <c r="S65" s="22">
        <f t="shared" si="37"/>
        <v>18.0568431913998</v>
      </c>
      <c r="T65" s="22">
        <f t="shared" si="37"/>
        <v>18.049059356009547</v>
      </c>
      <c r="U65" s="22">
        <f t="shared" si="37"/>
        <v>18.081957422345944</v>
      </c>
      <c r="V65" s="22">
        <f t="shared" si="37"/>
        <v>18.09132391492739</v>
      </c>
      <c r="W65" s="19"/>
      <c r="X65" s="19"/>
      <c r="Y65" s="22">
        <f t="shared" si="10"/>
        <v>0</v>
      </c>
      <c r="Z65" s="22">
        <f t="shared" si="11"/>
        <v>0</v>
      </c>
      <c r="AA65" s="22">
        <f t="shared" si="12"/>
        <v>0</v>
      </c>
      <c r="AB65" s="22">
        <f t="shared" si="13"/>
        <v>0</v>
      </c>
      <c r="AC65" s="22">
        <f t="shared" si="14"/>
        <v>0</v>
      </c>
      <c r="AD65" s="22">
        <f t="shared" si="15"/>
        <v>0</v>
      </c>
      <c r="AE65" s="22">
        <f t="shared" si="16"/>
        <v>0</v>
      </c>
      <c r="AF65" s="22">
        <f t="shared" si="17"/>
        <v>0</v>
      </c>
      <c r="AG65" s="22">
        <f t="shared" si="18"/>
        <v>0</v>
      </c>
      <c r="AH65" s="22">
        <f t="shared" si="19"/>
        <v>0</v>
      </c>
      <c r="AI65" s="22">
        <f t="shared" si="20"/>
        <v>0</v>
      </c>
      <c r="AJ65" s="22">
        <f t="shared" si="21"/>
        <v>0</v>
      </c>
      <c r="AK65" s="22">
        <f t="shared" si="22"/>
        <v>0</v>
      </c>
      <c r="AL65" s="22">
        <f t="shared" si="23"/>
        <v>0</v>
      </c>
      <c r="AM65" s="22">
        <f t="shared" si="24"/>
        <v>0</v>
      </c>
      <c r="AN65" s="22">
        <f t="shared" si="25"/>
        <v>0</v>
      </c>
      <c r="AO65" s="22">
        <f t="shared" si="26"/>
        <v>0</v>
      </c>
      <c r="AP65" s="22">
        <f t="shared" si="27"/>
        <v>0</v>
      </c>
      <c r="AQ65" s="22">
        <f t="shared" si="28"/>
        <v>0</v>
      </c>
      <c r="AR65" s="22">
        <f t="shared" si="29"/>
        <v>0</v>
      </c>
    </row>
    <row r="66" spans="1:44" x14ac:dyDescent="0.25">
      <c r="A66" s="29">
        <f t="shared" si="8"/>
        <v>0</v>
      </c>
      <c r="B66" s="19">
        <v>11</v>
      </c>
      <c r="C66" s="22">
        <f t="shared" ref="C66:V66" si="38">IF(SUM(C$32:C$51)&gt;1,$Y$4,1*$Y$3)+IF(SUM($C42:$V42)&gt;1,$Y$4,1*$Y$3)+C114+$Y$5+$Y$8</f>
        <v>18.049536176934385</v>
      </c>
      <c r="D66" s="22">
        <f t="shared" si="38"/>
        <v>18.057536945812803</v>
      </c>
      <c r="E66" s="22">
        <f t="shared" si="38"/>
        <v>18.034311546118978</v>
      </c>
      <c r="F66" s="22">
        <f t="shared" si="38"/>
        <v>18.236011581922831</v>
      </c>
      <c r="G66" s="22">
        <f t="shared" si="38"/>
        <v>18.460707383571005</v>
      </c>
      <c r="H66" s="22">
        <f t="shared" si="38"/>
        <v>18.259384613142185</v>
      </c>
      <c r="I66" s="22">
        <f t="shared" si="38"/>
        <v>18.071825963064338</v>
      </c>
      <c r="J66" s="22">
        <f t="shared" si="38"/>
        <v>18.104417171125782</v>
      </c>
      <c r="K66" s="22">
        <f t="shared" si="38"/>
        <v>18.105306948130728</v>
      </c>
      <c r="L66" s="22">
        <f t="shared" si="38"/>
        <v>18.067481724541324</v>
      </c>
      <c r="M66" s="22">
        <f t="shared" si="38"/>
        <v>18.149339171598292</v>
      </c>
      <c r="N66" s="22">
        <f t="shared" si="38"/>
        <v>18.05266133135828</v>
      </c>
      <c r="O66" s="22">
        <f t="shared" si="38"/>
        <v>18.050273519019832</v>
      </c>
      <c r="P66" s="22">
        <f t="shared" si="38"/>
        <v>18.059562631674524</v>
      </c>
      <c r="Q66" s="22">
        <f t="shared" si="38"/>
        <v>18.036930441268265</v>
      </c>
      <c r="R66" s="22">
        <f t="shared" si="38"/>
        <v>18.144618398950044</v>
      </c>
      <c r="S66" s="22">
        <f t="shared" si="38"/>
        <v>18.088432839022015</v>
      </c>
      <c r="T66" s="22">
        <f t="shared" si="38"/>
        <v>18.047367944119248</v>
      </c>
      <c r="U66" s="22">
        <f t="shared" si="38"/>
        <v>18.154548245501754</v>
      </c>
      <c r="V66" s="22">
        <f t="shared" si="38"/>
        <v>18.187333977695967</v>
      </c>
      <c r="W66" s="19"/>
      <c r="X66" s="19"/>
      <c r="Y66" s="22">
        <f t="shared" si="10"/>
        <v>0</v>
      </c>
      <c r="Z66" s="22">
        <f t="shared" si="11"/>
        <v>0</v>
      </c>
      <c r="AA66" s="22">
        <f t="shared" si="12"/>
        <v>0</v>
      </c>
      <c r="AB66" s="22">
        <f t="shared" si="13"/>
        <v>0</v>
      </c>
      <c r="AC66" s="22">
        <f t="shared" si="14"/>
        <v>0</v>
      </c>
      <c r="AD66" s="22">
        <f t="shared" si="15"/>
        <v>0</v>
      </c>
      <c r="AE66" s="22">
        <f t="shared" si="16"/>
        <v>0</v>
      </c>
      <c r="AF66" s="22">
        <f t="shared" si="17"/>
        <v>0</v>
      </c>
      <c r="AG66" s="22">
        <f t="shared" si="18"/>
        <v>0</v>
      </c>
      <c r="AH66" s="22">
        <f t="shared" si="19"/>
        <v>0</v>
      </c>
      <c r="AI66" s="22">
        <f t="shared" si="20"/>
        <v>0</v>
      </c>
      <c r="AJ66" s="22">
        <f t="shared" si="21"/>
        <v>0</v>
      </c>
      <c r="AK66" s="22">
        <f t="shared" si="22"/>
        <v>0</v>
      </c>
      <c r="AL66" s="22">
        <f t="shared" si="23"/>
        <v>0</v>
      </c>
      <c r="AM66" s="22">
        <f t="shared" si="24"/>
        <v>0</v>
      </c>
      <c r="AN66" s="22">
        <f t="shared" si="25"/>
        <v>0</v>
      </c>
      <c r="AO66" s="22">
        <f t="shared" si="26"/>
        <v>0</v>
      </c>
      <c r="AP66" s="22">
        <f t="shared" si="27"/>
        <v>0</v>
      </c>
      <c r="AQ66" s="22">
        <f t="shared" si="28"/>
        <v>0</v>
      </c>
      <c r="AR66" s="22">
        <f t="shared" si="29"/>
        <v>0</v>
      </c>
    </row>
    <row r="67" spans="1:44" x14ac:dyDescent="0.25">
      <c r="A67" s="29">
        <f t="shared" si="8"/>
        <v>0</v>
      </c>
      <c r="B67" s="19">
        <v>12</v>
      </c>
      <c r="C67" s="22">
        <f t="shared" ref="C67:V67" si="39">IF(SUM(C$32:C$51)&gt;1,$Y$4,1*$Y$3)+IF(SUM($C43:$V43)&gt;1,$Y$4,1*$Y$3)+C115+$Y$5+$Y$8</f>
        <v>18.079480519480516</v>
      </c>
      <c r="D67" s="22">
        <f t="shared" si="39"/>
        <v>18.083929102509686</v>
      </c>
      <c r="E67" s="22">
        <f t="shared" si="39"/>
        <v>18.048738092570655</v>
      </c>
      <c r="F67" s="22">
        <f t="shared" si="39"/>
        <v>18.188571428571425</v>
      </c>
      <c r="G67" s="22">
        <f t="shared" si="39"/>
        <v>18.138792533393758</v>
      </c>
      <c r="H67" s="22">
        <f t="shared" si="39"/>
        <v>18.249775303535166</v>
      </c>
      <c r="I67" s="22">
        <f t="shared" si="39"/>
        <v>18.084412123253887</v>
      </c>
      <c r="J67" s="22">
        <f t="shared" si="39"/>
        <v>18.109342772596051</v>
      </c>
      <c r="K67" s="22">
        <f t="shared" si="39"/>
        <v>18.205700701526759</v>
      </c>
      <c r="L67" s="22">
        <f t="shared" si="39"/>
        <v>18.092712870585707</v>
      </c>
      <c r="M67" s="22">
        <f t="shared" si="39"/>
        <v>18.205700701526759</v>
      </c>
      <c r="N67" s="22">
        <f t="shared" si="39"/>
        <v>18.086423148301101</v>
      </c>
      <c r="O67" s="22">
        <f t="shared" si="39"/>
        <v>18.079480519480516</v>
      </c>
      <c r="P67" s="22">
        <f t="shared" si="39"/>
        <v>18.102075589836534</v>
      </c>
      <c r="Q67" s="22">
        <f t="shared" si="39"/>
        <v>18.053854865156111</v>
      </c>
      <c r="R67" s="22">
        <f t="shared" si="39"/>
        <v>18.131428571428568</v>
      </c>
      <c r="S67" s="22">
        <f t="shared" si="39"/>
        <v>18.110357753099425</v>
      </c>
      <c r="T67" s="22">
        <f t="shared" si="39"/>
        <v>18.071590941110163</v>
      </c>
      <c r="U67" s="22">
        <f t="shared" si="39"/>
        <v>18.17131542620298</v>
      </c>
      <c r="V67" s="22">
        <f t="shared" si="39"/>
        <v>18.183765530172529</v>
      </c>
      <c r="W67" s="19"/>
      <c r="X67" s="19"/>
      <c r="Y67" s="22">
        <f t="shared" si="10"/>
        <v>0</v>
      </c>
      <c r="Z67" s="22">
        <f t="shared" si="11"/>
        <v>0</v>
      </c>
      <c r="AA67" s="22">
        <f t="shared" si="12"/>
        <v>0</v>
      </c>
      <c r="AB67" s="22">
        <f t="shared" si="13"/>
        <v>0</v>
      </c>
      <c r="AC67" s="22">
        <f t="shared" si="14"/>
        <v>0</v>
      </c>
      <c r="AD67" s="22">
        <f t="shared" si="15"/>
        <v>0</v>
      </c>
      <c r="AE67" s="22">
        <f t="shared" si="16"/>
        <v>0</v>
      </c>
      <c r="AF67" s="22">
        <f t="shared" si="17"/>
        <v>0</v>
      </c>
      <c r="AG67" s="22">
        <f t="shared" si="18"/>
        <v>0</v>
      </c>
      <c r="AH67" s="22">
        <f t="shared" si="19"/>
        <v>0</v>
      </c>
      <c r="AI67" s="22">
        <f t="shared" si="20"/>
        <v>0.21712927295533244</v>
      </c>
      <c r="AJ67" s="22">
        <f t="shared" si="21"/>
        <v>0</v>
      </c>
      <c r="AK67" s="22">
        <f t="shared" si="22"/>
        <v>0</v>
      </c>
      <c r="AL67" s="22">
        <f t="shared" si="23"/>
        <v>0</v>
      </c>
      <c r="AM67" s="22">
        <f t="shared" si="24"/>
        <v>0</v>
      </c>
      <c r="AN67" s="22">
        <f t="shared" si="25"/>
        <v>0</v>
      </c>
      <c r="AO67" s="22">
        <f t="shared" si="26"/>
        <v>0</v>
      </c>
      <c r="AP67" s="22">
        <f t="shared" si="27"/>
        <v>0</v>
      </c>
      <c r="AQ67" s="22">
        <f t="shared" si="28"/>
        <v>0</v>
      </c>
      <c r="AR67" s="22">
        <f t="shared" si="29"/>
        <v>0</v>
      </c>
    </row>
    <row r="68" spans="1:44" x14ac:dyDescent="0.25">
      <c r="A68" s="29">
        <f t="shared" si="8"/>
        <v>0</v>
      </c>
      <c r="B68" s="19">
        <v>13</v>
      </c>
      <c r="C68" s="22">
        <f t="shared" ref="C68:V68" si="40">IF(SUM(C$32:C$51)&gt;1,$Y$4,1*$Y$3)+IF(SUM($C44:$V44)&gt;1,$Y$4,1*$Y$3)+C116+$Y$5+$Y$8</f>
        <v>18.082869361241553</v>
      </c>
      <c r="D68" s="22">
        <f t="shared" si="40"/>
        <v>18.111136812285618</v>
      </c>
      <c r="E68" s="22">
        <f t="shared" si="40"/>
        <v>18.04847909351118</v>
      </c>
      <c r="F68" s="22">
        <f t="shared" si="40"/>
        <v>18.127756890005692</v>
      </c>
      <c r="G68" s="22">
        <f t="shared" si="40"/>
        <v>18.121904761904759</v>
      </c>
      <c r="H68" s="22">
        <f t="shared" si="40"/>
        <v>18.187333977695967</v>
      </c>
      <c r="I68" s="22">
        <f t="shared" si="40"/>
        <v>18.066693842468034</v>
      </c>
      <c r="J68" s="22">
        <f t="shared" si="40"/>
        <v>18.142417582417579</v>
      </c>
      <c r="K68" s="22">
        <f t="shared" si="40"/>
        <v>18.460707383571005</v>
      </c>
      <c r="L68" s="22">
        <f t="shared" si="40"/>
        <v>18.12935150602982</v>
      </c>
      <c r="M68" s="22">
        <f t="shared" si="40"/>
        <v>18.12935150602982</v>
      </c>
      <c r="N68" s="22">
        <f t="shared" si="40"/>
        <v>18.088432839022015</v>
      </c>
      <c r="O68" s="22">
        <f t="shared" si="40"/>
        <v>18.077006241531464</v>
      </c>
      <c r="P68" s="22">
        <f t="shared" si="40"/>
        <v>18.098730918232153</v>
      </c>
      <c r="Q68" s="22">
        <f t="shared" si="40"/>
        <v>18.05843541129877</v>
      </c>
      <c r="R68" s="22">
        <f t="shared" si="40"/>
        <v>18.157364069470265</v>
      </c>
      <c r="S68" s="22">
        <f t="shared" si="40"/>
        <v>18.082869361241553</v>
      </c>
      <c r="T68" s="22">
        <f t="shared" si="40"/>
        <v>18.085276018091829</v>
      </c>
      <c r="U68" s="22">
        <f t="shared" si="40"/>
        <v>18.114417396713751</v>
      </c>
      <c r="V68" s="22">
        <f t="shared" si="40"/>
        <v>18.121904761904759</v>
      </c>
      <c r="W68" s="19"/>
      <c r="X68" s="19"/>
      <c r="Y68" s="22">
        <f t="shared" si="10"/>
        <v>0</v>
      </c>
      <c r="Z68" s="22">
        <f t="shared" si="11"/>
        <v>0</v>
      </c>
      <c r="AA68" s="22">
        <f t="shared" si="12"/>
        <v>0</v>
      </c>
      <c r="AB68" s="22">
        <f t="shared" si="13"/>
        <v>0</v>
      </c>
      <c r="AC68" s="22">
        <f t="shared" si="14"/>
        <v>0</v>
      </c>
      <c r="AD68" s="22">
        <f t="shared" si="15"/>
        <v>0</v>
      </c>
      <c r="AE68" s="22">
        <f t="shared" si="16"/>
        <v>0</v>
      </c>
      <c r="AF68" s="22">
        <f t="shared" si="17"/>
        <v>0</v>
      </c>
      <c r="AG68" s="22">
        <f t="shared" si="18"/>
        <v>0</v>
      </c>
      <c r="AH68" s="22">
        <f t="shared" si="19"/>
        <v>0</v>
      </c>
      <c r="AI68" s="22">
        <f t="shared" si="20"/>
        <v>0</v>
      </c>
      <c r="AJ68" s="22">
        <f t="shared" si="21"/>
        <v>0</v>
      </c>
      <c r="AK68" s="22">
        <f t="shared" si="22"/>
        <v>8.8434812960039438E-2</v>
      </c>
      <c r="AL68" s="22">
        <f t="shared" si="23"/>
        <v>0</v>
      </c>
      <c r="AM68" s="22">
        <f t="shared" si="24"/>
        <v>0</v>
      </c>
      <c r="AN68" s="22">
        <f t="shared" si="25"/>
        <v>0</v>
      </c>
      <c r="AO68" s="22">
        <f t="shared" si="26"/>
        <v>0</v>
      </c>
      <c r="AP68" s="22">
        <f t="shared" si="27"/>
        <v>0</v>
      </c>
      <c r="AQ68" s="22">
        <f t="shared" si="28"/>
        <v>0</v>
      </c>
      <c r="AR68" s="22">
        <f t="shared" si="29"/>
        <v>0</v>
      </c>
    </row>
    <row r="69" spans="1:44" x14ac:dyDescent="0.25">
      <c r="A69" s="29">
        <f t="shared" si="8"/>
        <v>0</v>
      </c>
      <c r="B69" s="19">
        <v>14</v>
      </c>
      <c r="C69" s="22">
        <f t="shared" ref="C69:V69" si="41">IF(SUM(C$32:C$51)&gt;1,$Y$4,1*$Y$3)+IF(SUM($C45:$V45)&gt;1,$Y$4,1*$Y$3)+C117+$Y$5+$Y$8</f>
        <v>18.112470771670722</v>
      </c>
      <c r="D69" s="22">
        <f t="shared" si="41"/>
        <v>18.110357753099425</v>
      </c>
      <c r="E69" s="22">
        <f t="shared" si="41"/>
        <v>18.059804593130035</v>
      </c>
      <c r="F69" s="22">
        <f t="shared" si="41"/>
        <v>18.112470771670722</v>
      </c>
      <c r="G69" s="22">
        <f t="shared" si="41"/>
        <v>18.092712870585707</v>
      </c>
      <c r="H69" s="22">
        <f t="shared" si="41"/>
        <v>18.134963910233402</v>
      </c>
      <c r="I69" s="22">
        <f t="shared" si="41"/>
        <v>18.074554873327983</v>
      </c>
      <c r="J69" s="22">
        <f t="shared" si="41"/>
        <v>18.098919205888588</v>
      </c>
      <c r="K69" s="22">
        <f t="shared" si="41"/>
        <v>18.238571428571426</v>
      </c>
      <c r="L69" s="22">
        <f t="shared" si="41"/>
        <v>18.110357753099425</v>
      </c>
      <c r="M69" s="22">
        <f t="shared" si="41"/>
        <v>18.129759276635266</v>
      </c>
      <c r="N69" s="22">
        <f t="shared" si="41"/>
        <v>18.123649534507248</v>
      </c>
      <c r="O69" s="22">
        <f t="shared" si="41"/>
        <v>18.104637623411143</v>
      </c>
      <c r="P69" s="22">
        <f t="shared" si="41"/>
        <v>18.145184457397658</v>
      </c>
      <c r="Q69" s="22">
        <f t="shared" si="41"/>
        <v>18.070670943793189</v>
      </c>
      <c r="R69" s="22">
        <f t="shared" si="41"/>
        <v>18.104637623411143</v>
      </c>
      <c r="S69" s="22">
        <f t="shared" si="41"/>
        <v>18.092712870585707</v>
      </c>
      <c r="T69" s="22">
        <f t="shared" si="41"/>
        <v>18.099682539682536</v>
      </c>
      <c r="U69" s="22">
        <f t="shared" si="41"/>
        <v>18.112470771670722</v>
      </c>
      <c r="V69" s="22">
        <f t="shared" si="41"/>
        <v>18.113571428571426</v>
      </c>
      <c r="W69" s="19"/>
      <c r="X69" s="19"/>
      <c r="Y69" s="22">
        <f t="shared" si="10"/>
        <v>0</v>
      </c>
      <c r="Z69" s="22">
        <f t="shared" si="11"/>
        <v>0</v>
      </c>
      <c r="AA69" s="22">
        <f t="shared" si="12"/>
        <v>0</v>
      </c>
      <c r="AB69" s="22">
        <f t="shared" si="13"/>
        <v>0</v>
      </c>
      <c r="AC69" s="22">
        <f t="shared" si="14"/>
        <v>0</v>
      </c>
      <c r="AD69" s="22">
        <f t="shared" si="15"/>
        <v>0</v>
      </c>
      <c r="AE69" s="22">
        <f t="shared" si="16"/>
        <v>0</v>
      </c>
      <c r="AF69" s="22">
        <f t="shared" si="17"/>
        <v>0</v>
      </c>
      <c r="AG69" s="22">
        <f t="shared" si="18"/>
        <v>0</v>
      </c>
      <c r="AH69" s="22">
        <f t="shared" si="19"/>
        <v>0.12178632452799958</v>
      </c>
      <c r="AI69" s="22">
        <f t="shared" si="20"/>
        <v>0</v>
      </c>
      <c r="AJ69" s="22">
        <f t="shared" si="21"/>
        <v>0</v>
      </c>
      <c r="AK69" s="22">
        <f t="shared" si="22"/>
        <v>0</v>
      </c>
      <c r="AL69" s="22">
        <f t="shared" si="23"/>
        <v>0</v>
      </c>
      <c r="AM69" s="22">
        <f t="shared" si="24"/>
        <v>0</v>
      </c>
      <c r="AN69" s="22">
        <f t="shared" si="25"/>
        <v>0</v>
      </c>
      <c r="AO69" s="22">
        <f t="shared" si="26"/>
        <v>0</v>
      </c>
      <c r="AP69" s="22">
        <f t="shared" si="27"/>
        <v>0</v>
      </c>
      <c r="AQ69" s="22">
        <f t="shared" si="28"/>
        <v>0</v>
      </c>
      <c r="AR69" s="22">
        <f t="shared" si="29"/>
        <v>0</v>
      </c>
    </row>
    <row r="70" spans="1:44" x14ac:dyDescent="0.25">
      <c r="A70" s="29">
        <f t="shared" si="8"/>
        <v>0</v>
      </c>
      <c r="B70" s="19">
        <v>15</v>
      </c>
      <c r="C70" s="22">
        <f t="shared" ref="C70:V70" si="42">IF(SUM(C$32:C$51)&gt;1,$Y$4,1*$Y$3)+IF(SUM($C46:$V46)&gt;1,$Y$4,1*$Y$3)+C118+$Y$5+$Y$8</f>
        <v>18.072063053676448</v>
      </c>
      <c r="D70" s="22">
        <f t="shared" si="42"/>
        <v>18.121564257612452</v>
      </c>
      <c r="E70" s="22">
        <f t="shared" si="42"/>
        <v>18.043458654824292</v>
      </c>
      <c r="F70" s="22">
        <f t="shared" si="42"/>
        <v>18.107868840349308</v>
      </c>
      <c r="G70" s="22">
        <f t="shared" si="42"/>
        <v>18.121564257612452</v>
      </c>
      <c r="H70" s="22">
        <f t="shared" si="42"/>
        <v>18.162683823466892</v>
      </c>
      <c r="I70" s="22">
        <f t="shared" si="42"/>
        <v>18.056462256399403</v>
      </c>
      <c r="J70" s="22">
        <f t="shared" si="42"/>
        <v>18.209052637782968</v>
      </c>
      <c r="K70" s="22">
        <f t="shared" si="42"/>
        <v>18.375997315294217</v>
      </c>
      <c r="L70" s="22">
        <f t="shared" si="42"/>
        <v>18.162683823466892</v>
      </c>
      <c r="M70" s="22">
        <f t="shared" si="42"/>
        <v>18.102490329294987</v>
      </c>
      <c r="N70" s="22">
        <f t="shared" si="42"/>
        <v>18.075438077163337</v>
      </c>
      <c r="O70" s="22">
        <f t="shared" si="42"/>
        <v>18.065371535053455</v>
      </c>
      <c r="P70" s="22">
        <f t="shared" si="42"/>
        <v>18.080963484615342</v>
      </c>
      <c r="Q70" s="22">
        <f t="shared" si="42"/>
        <v>18.054535349666693</v>
      </c>
      <c r="R70" s="22">
        <f t="shared" si="42"/>
        <v>18.209052637782968</v>
      </c>
      <c r="S70" s="22">
        <f t="shared" si="42"/>
        <v>18.068501956580711</v>
      </c>
      <c r="T70" s="22">
        <f t="shared" si="42"/>
        <v>18.082753855137934</v>
      </c>
      <c r="U70" s="22">
        <f t="shared" si="42"/>
        <v>18.093672032528954</v>
      </c>
      <c r="V70" s="22">
        <f t="shared" si="42"/>
        <v>18.100859138334368</v>
      </c>
      <c r="W70" s="19"/>
      <c r="X70" s="19"/>
      <c r="Y70" s="22">
        <f t="shared" si="10"/>
        <v>0</v>
      </c>
      <c r="Z70" s="22">
        <f t="shared" si="11"/>
        <v>0</v>
      </c>
      <c r="AA70" s="22">
        <f t="shared" si="12"/>
        <v>0</v>
      </c>
      <c r="AB70" s="22">
        <f t="shared" si="13"/>
        <v>0</v>
      </c>
      <c r="AC70" s="22">
        <f t="shared" si="14"/>
        <v>0</v>
      </c>
      <c r="AD70" s="22">
        <f t="shared" si="15"/>
        <v>0</v>
      </c>
      <c r="AE70" s="22">
        <f t="shared" si="16"/>
        <v>0</v>
      </c>
      <c r="AF70" s="22">
        <f t="shared" si="17"/>
        <v>0</v>
      </c>
      <c r="AG70" s="22">
        <f t="shared" si="18"/>
        <v>0</v>
      </c>
      <c r="AH70" s="22">
        <f t="shared" si="19"/>
        <v>0</v>
      </c>
      <c r="AI70" s="22">
        <f t="shared" si="20"/>
        <v>0</v>
      </c>
      <c r="AJ70" s="22">
        <f t="shared" si="21"/>
        <v>0</v>
      </c>
      <c r="AK70" s="22">
        <f t="shared" si="22"/>
        <v>0</v>
      </c>
      <c r="AL70" s="22">
        <f t="shared" si="23"/>
        <v>0</v>
      </c>
      <c r="AM70" s="22">
        <f t="shared" si="24"/>
        <v>0</v>
      </c>
      <c r="AN70" s="22">
        <f t="shared" si="25"/>
        <v>0.22048120921154241</v>
      </c>
      <c r="AO70" s="22">
        <f t="shared" si="26"/>
        <v>0</v>
      </c>
      <c r="AP70" s="22">
        <f t="shared" si="27"/>
        <v>0</v>
      </c>
      <c r="AQ70" s="22">
        <f t="shared" si="28"/>
        <v>0</v>
      </c>
      <c r="AR70" s="22">
        <f t="shared" si="29"/>
        <v>0</v>
      </c>
    </row>
    <row r="71" spans="1:44" x14ac:dyDescent="0.25">
      <c r="A71" s="29">
        <f t="shared" si="8"/>
        <v>0</v>
      </c>
      <c r="B71" s="19">
        <v>16</v>
      </c>
      <c r="C71" s="22">
        <f t="shared" ref="C71:V71" si="43">IF(SUM(C$32:C$51)&gt;1,$Y$4,1*$Y$3)+IF(SUM($C47:$V47)&gt;1,$Y$4,1*$Y$3)+C119+$Y$5+$Y$8</f>
        <v>18.051599013786507</v>
      </c>
      <c r="D71" s="22">
        <f t="shared" si="43"/>
        <v>18.070670943793189</v>
      </c>
      <c r="E71" s="22">
        <f t="shared" si="43"/>
        <v>18.034424789790602</v>
      </c>
      <c r="F71" s="22">
        <f t="shared" si="43"/>
        <v>18.145184457397658</v>
      </c>
      <c r="G71" s="22">
        <f t="shared" si="43"/>
        <v>18.297588422946372</v>
      </c>
      <c r="H71" s="22">
        <f t="shared" si="43"/>
        <v>18.238571428571426</v>
      </c>
      <c r="I71" s="22">
        <f t="shared" si="43"/>
        <v>18.058298344187957</v>
      </c>
      <c r="J71" s="22">
        <f t="shared" si="43"/>
        <v>18.17131542620298</v>
      </c>
      <c r="K71" s="22">
        <f t="shared" si="43"/>
        <v>18.134963910233402</v>
      </c>
      <c r="L71" s="22">
        <f t="shared" si="43"/>
        <v>18.088571428571424</v>
      </c>
      <c r="M71" s="22">
        <f t="shared" si="43"/>
        <v>18.112470771670722</v>
      </c>
      <c r="N71" s="22">
        <f t="shared" si="43"/>
        <v>18.054306107196062</v>
      </c>
      <c r="O71" s="22">
        <f t="shared" si="43"/>
        <v>18.050055642030365</v>
      </c>
      <c r="P71" s="22">
        <f t="shared" si="43"/>
        <v>18.059804593130035</v>
      </c>
      <c r="Q71" s="22">
        <f t="shared" si="43"/>
        <v>18.039589037956173</v>
      </c>
      <c r="R71" s="22">
        <f t="shared" si="43"/>
        <v>18.297588422946372</v>
      </c>
      <c r="S71" s="22">
        <f t="shared" si="43"/>
        <v>18.070670943793189</v>
      </c>
      <c r="T71" s="22">
        <f t="shared" si="43"/>
        <v>18.053854865156111</v>
      </c>
      <c r="U71" s="22">
        <f t="shared" si="43"/>
        <v>18.109342772596051</v>
      </c>
      <c r="V71" s="22">
        <f t="shared" si="43"/>
        <v>18.125098488067238</v>
      </c>
      <c r="W71" s="19"/>
      <c r="X71" s="19"/>
      <c r="Y71" s="22">
        <f t="shared" si="10"/>
        <v>0</v>
      </c>
      <c r="Z71" s="22">
        <f t="shared" si="11"/>
        <v>0</v>
      </c>
      <c r="AA71" s="22">
        <f t="shared" si="12"/>
        <v>0</v>
      </c>
      <c r="AB71" s="22">
        <f t="shared" si="13"/>
        <v>0</v>
      </c>
      <c r="AC71" s="22">
        <f t="shared" si="14"/>
        <v>0</v>
      </c>
      <c r="AD71" s="22">
        <f t="shared" si="15"/>
        <v>0.25</v>
      </c>
      <c r="AE71" s="22">
        <f t="shared" si="16"/>
        <v>0</v>
      </c>
      <c r="AF71" s="22">
        <f t="shared" si="17"/>
        <v>0</v>
      </c>
      <c r="AG71" s="22">
        <f t="shared" si="18"/>
        <v>0</v>
      </c>
      <c r="AH71" s="22">
        <f t="shared" si="19"/>
        <v>0</v>
      </c>
      <c r="AI71" s="22">
        <f t="shared" si="20"/>
        <v>0</v>
      </c>
      <c r="AJ71" s="22">
        <f t="shared" si="21"/>
        <v>0</v>
      </c>
      <c r="AK71" s="22">
        <f t="shared" si="22"/>
        <v>0</v>
      </c>
      <c r="AL71" s="22">
        <f t="shared" si="23"/>
        <v>0</v>
      </c>
      <c r="AM71" s="22">
        <f t="shared" si="24"/>
        <v>0</v>
      </c>
      <c r="AN71" s="22">
        <f t="shared" si="25"/>
        <v>0</v>
      </c>
      <c r="AO71" s="22">
        <f t="shared" si="26"/>
        <v>0</v>
      </c>
      <c r="AP71" s="22">
        <f t="shared" si="27"/>
        <v>0</v>
      </c>
      <c r="AQ71" s="22">
        <f t="shared" si="28"/>
        <v>0</v>
      </c>
      <c r="AR71" s="22">
        <f t="shared" si="29"/>
        <v>0</v>
      </c>
    </row>
    <row r="72" spans="1:44" x14ac:dyDescent="0.25">
      <c r="A72" s="29">
        <f t="shared" si="8"/>
        <v>0</v>
      </c>
      <c r="B72" s="19">
        <v>17</v>
      </c>
      <c r="C72" s="22">
        <f t="shared" ref="C72:V72" si="44">IF(SUM(C$32:C$51)&gt;1,$Y$4,1*$Y$3)+IF(SUM($C48:$V48)&gt;1,$Y$4,1*$Y$3)+C120+$Y$5+$Y$8</f>
        <v>18.046445749011198</v>
      </c>
      <c r="D72" s="22">
        <f t="shared" si="44"/>
        <v>18.059228093908438</v>
      </c>
      <c r="E72" s="22">
        <f t="shared" si="44"/>
        <v>18.032006791268831</v>
      </c>
      <c r="F72" s="22">
        <f t="shared" si="44"/>
        <v>18.15523809523809</v>
      </c>
      <c r="G72" s="22">
        <f t="shared" si="44"/>
        <v>18.488571428571426</v>
      </c>
      <c r="H72" s="22">
        <f t="shared" si="44"/>
        <v>18.205700701526759</v>
      </c>
      <c r="I72" s="22">
        <f t="shared" si="44"/>
        <v>18.059804593130035</v>
      </c>
      <c r="J72" s="22">
        <f t="shared" si="44"/>
        <v>18.125098488067238</v>
      </c>
      <c r="K72" s="22">
        <f t="shared" si="44"/>
        <v>18.104637623411143</v>
      </c>
      <c r="L72" s="22">
        <f t="shared" si="44"/>
        <v>18.071904761904758</v>
      </c>
      <c r="M72" s="22">
        <f t="shared" si="44"/>
        <v>18.112470771670722</v>
      </c>
      <c r="N72" s="22">
        <f t="shared" si="44"/>
        <v>18.048971217725384</v>
      </c>
      <c r="O72" s="22">
        <f t="shared" si="44"/>
        <v>18.046038665388053</v>
      </c>
      <c r="P72" s="22">
        <f t="shared" si="44"/>
        <v>18.054306107196062</v>
      </c>
      <c r="Q72" s="22">
        <f t="shared" si="44"/>
        <v>18.035633669968288</v>
      </c>
      <c r="R72" s="22">
        <f t="shared" si="44"/>
        <v>18.183765530172529</v>
      </c>
      <c r="S72" s="22">
        <f t="shared" si="44"/>
        <v>18.071904761904758</v>
      </c>
      <c r="T72" s="22">
        <f t="shared" si="44"/>
        <v>18.04686179173067</v>
      </c>
      <c r="U72" s="22">
        <f t="shared" si="44"/>
        <v>18.113571428571426</v>
      </c>
      <c r="V72" s="22">
        <f t="shared" si="44"/>
        <v>18.131428571428568</v>
      </c>
      <c r="W72" s="19"/>
      <c r="X72" s="19"/>
      <c r="Y72" s="22">
        <f t="shared" si="10"/>
        <v>0</v>
      </c>
      <c r="Z72" s="22">
        <f t="shared" si="11"/>
        <v>0</v>
      </c>
      <c r="AA72" s="22">
        <f t="shared" si="12"/>
        <v>0</v>
      </c>
      <c r="AB72" s="22">
        <f t="shared" si="13"/>
        <v>0</v>
      </c>
      <c r="AC72" s="22">
        <f t="shared" si="14"/>
        <v>0.5</v>
      </c>
      <c r="AD72" s="22">
        <f t="shared" si="15"/>
        <v>0</v>
      </c>
      <c r="AE72" s="22">
        <f t="shared" si="16"/>
        <v>0</v>
      </c>
      <c r="AF72" s="22">
        <f t="shared" si="17"/>
        <v>0</v>
      </c>
      <c r="AG72" s="22">
        <f t="shared" si="18"/>
        <v>0</v>
      </c>
      <c r="AH72" s="22">
        <f t="shared" si="19"/>
        <v>0</v>
      </c>
      <c r="AI72" s="22">
        <f t="shared" si="20"/>
        <v>0</v>
      </c>
      <c r="AJ72" s="22">
        <f t="shared" si="21"/>
        <v>0</v>
      </c>
      <c r="AK72" s="22">
        <f t="shared" si="22"/>
        <v>0</v>
      </c>
      <c r="AL72" s="22">
        <f t="shared" si="23"/>
        <v>0</v>
      </c>
      <c r="AM72" s="22">
        <f t="shared" si="24"/>
        <v>0</v>
      </c>
      <c r="AN72" s="22">
        <f t="shared" si="25"/>
        <v>0</v>
      </c>
      <c r="AO72" s="22">
        <f t="shared" si="26"/>
        <v>0</v>
      </c>
      <c r="AP72" s="22">
        <f t="shared" si="27"/>
        <v>0</v>
      </c>
      <c r="AQ72" s="22">
        <f t="shared" si="28"/>
        <v>0</v>
      </c>
      <c r="AR72" s="22">
        <f t="shared" si="29"/>
        <v>0</v>
      </c>
    </row>
    <row r="73" spans="1:44" x14ac:dyDescent="0.25">
      <c r="A73" s="29">
        <f t="shared" si="8"/>
        <v>0</v>
      </c>
      <c r="B73" s="19">
        <v>18</v>
      </c>
      <c r="C73" s="22">
        <f t="shared" ref="C73:V73" si="45">IF(SUM(C$32:C$51)&gt;1,$Y$4,1*$Y$3)+IF(SUM($C49:$V49)&gt;1,$Y$4,1*$Y$3)+C121+$Y$5+$Y$8</f>
        <v>18.088432839022015</v>
      </c>
      <c r="D73" s="22">
        <f t="shared" si="45"/>
        <v>18.084779418417018</v>
      </c>
      <c r="E73" s="22">
        <f t="shared" si="45"/>
        <v>18.052944517055366</v>
      </c>
      <c r="F73" s="22">
        <f t="shared" si="45"/>
        <v>18.166831785541621</v>
      </c>
      <c r="G73" s="22">
        <f t="shared" si="45"/>
        <v>18.117990909329318</v>
      </c>
      <c r="H73" s="22">
        <f t="shared" si="45"/>
        <v>18.192439838252362</v>
      </c>
      <c r="I73" s="22">
        <f t="shared" si="45"/>
        <v>18.089558609496439</v>
      </c>
      <c r="J73" s="22">
        <f t="shared" si="45"/>
        <v>18.097987678349966</v>
      </c>
      <c r="K73" s="22">
        <f t="shared" si="45"/>
        <v>18.192439838252362</v>
      </c>
      <c r="L73" s="22">
        <f t="shared" si="45"/>
        <v>18.090136516033912</v>
      </c>
      <c r="M73" s="22">
        <f t="shared" si="45"/>
        <v>18.204086117929812</v>
      </c>
      <c r="N73" s="22">
        <f t="shared" si="45"/>
        <v>18.097259877377891</v>
      </c>
      <c r="O73" s="22">
        <f t="shared" si="45"/>
        <v>18.089558609496439</v>
      </c>
      <c r="P73" s="22">
        <f t="shared" si="45"/>
        <v>18.117990909329318</v>
      </c>
      <c r="Q73" s="22">
        <f t="shared" si="45"/>
        <v>18.057713797602418</v>
      </c>
      <c r="R73" s="22">
        <f t="shared" si="45"/>
        <v>18.11329338554156</v>
      </c>
      <c r="S73" s="22">
        <f t="shared" si="45"/>
        <v>18.117990909329318</v>
      </c>
      <c r="T73" s="22">
        <f t="shared" si="45"/>
        <v>18.075527950310555</v>
      </c>
      <c r="U73" s="22">
        <f t="shared" si="45"/>
        <v>18.166831785541621</v>
      </c>
      <c r="V73" s="22">
        <f t="shared" si="45"/>
        <v>18.170389610389606</v>
      </c>
      <c r="W73" s="19"/>
      <c r="X73" s="19"/>
      <c r="Y73" s="22">
        <f t="shared" si="10"/>
        <v>0</v>
      </c>
      <c r="Z73" s="22">
        <f t="shared" si="11"/>
        <v>0</v>
      </c>
      <c r="AA73" s="22">
        <f t="shared" si="12"/>
        <v>0</v>
      </c>
      <c r="AB73" s="22">
        <f t="shared" si="13"/>
        <v>0</v>
      </c>
      <c r="AC73" s="22">
        <f t="shared" si="14"/>
        <v>0</v>
      </c>
      <c r="AD73" s="22">
        <f t="shared" si="15"/>
        <v>0</v>
      </c>
      <c r="AE73" s="22">
        <f t="shared" si="16"/>
        <v>0</v>
      </c>
      <c r="AF73" s="22">
        <f t="shared" si="17"/>
        <v>0</v>
      </c>
      <c r="AG73" s="22">
        <f t="shared" si="18"/>
        <v>0</v>
      </c>
      <c r="AH73" s="22">
        <f t="shared" si="19"/>
        <v>0</v>
      </c>
      <c r="AI73" s="22">
        <f t="shared" si="20"/>
        <v>0</v>
      </c>
      <c r="AJ73" s="22">
        <f t="shared" si="21"/>
        <v>0</v>
      </c>
      <c r="AK73" s="22">
        <f t="shared" si="22"/>
        <v>0</v>
      </c>
      <c r="AL73" s="22">
        <f t="shared" si="23"/>
        <v>0</v>
      </c>
      <c r="AM73" s="22">
        <f t="shared" si="24"/>
        <v>0</v>
      </c>
      <c r="AN73" s="22">
        <f t="shared" si="25"/>
        <v>0</v>
      </c>
      <c r="AO73" s="22">
        <f t="shared" si="26"/>
        <v>0</v>
      </c>
      <c r="AP73" s="22">
        <f t="shared" si="27"/>
        <v>0</v>
      </c>
      <c r="AQ73" s="22">
        <f t="shared" si="28"/>
        <v>0</v>
      </c>
      <c r="AR73" s="22">
        <f t="shared" si="29"/>
        <v>0</v>
      </c>
    </row>
    <row r="74" spans="1:44" x14ac:dyDescent="0.25">
      <c r="A74" s="29">
        <f t="shared" si="8"/>
        <v>0</v>
      </c>
      <c r="B74" s="19">
        <v>19</v>
      </c>
      <c r="C74" s="22">
        <f t="shared" ref="C74:V74" si="46">IF(SUM(C$32:C$51)&gt;1,$Y$4,1*$Y$3)+IF(SUM($C50:$V50)&gt;1,$Y$4,1*$Y$3)+C122+$Y$5+$Y$8</f>
        <v>18.072063053676448</v>
      </c>
      <c r="D74" s="22">
        <f t="shared" si="46"/>
        <v>18.121564257612452</v>
      </c>
      <c r="E74" s="22">
        <f t="shared" si="46"/>
        <v>18.043458654824292</v>
      </c>
      <c r="F74" s="22">
        <f t="shared" si="46"/>
        <v>18.107868840349308</v>
      </c>
      <c r="G74" s="22">
        <f t="shared" si="46"/>
        <v>18.121564257612452</v>
      </c>
      <c r="H74" s="22">
        <f t="shared" si="46"/>
        <v>18.162683823466892</v>
      </c>
      <c r="I74" s="22">
        <f t="shared" si="46"/>
        <v>18.056462256399403</v>
      </c>
      <c r="J74" s="22">
        <f t="shared" si="46"/>
        <v>18.209052637782968</v>
      </c>
      <c r="K74" s="22">
        <f t="shared" si="46"/>
        <v>18.375997315294217</v>
      </c>
      <c r="L74" s="22">
        <f t="shared" si="46"/>
        <v>18.162683823466892</v>
      </c>
      <c r="M74" s="22">
        <f t="shared" si="46"/>
        <v>18.102490329294987</v>
      </c>
      <c r="N74" s="22">
        <f t="shared" si="46"/>
        <v>18.075438077163337</v>
      </c>
      <c r="O74" s="22">
        <f t="shared" si="46"/>
        <v>18.065371535053455</v>
      </c>
      <c r="P74" s="22">
        <f t="shared" si="46"/>
        <v>18.080963484615342</v>
      </c>
      <c r="Q74" s="22">
        <f t="shared" si="46"/>
        <v>18.054535349666693</v>
      </c>
      <c r="R74" s="22">
        <f t="shared" si="46"/>
        <v>18.209052637782968</v>
      </c>
      <c r="S74" s="22">
        <f t="shared" si="46"/>
        <v>18.068501956580711</v>
      </c>
      <c r="T74" s="22">
        <f t="shared" si="46"/>
        <v>18.082753855137934</v>
      </c>
      <c r="U74" s="22">
        <f t="shared" si="46"/>
        <v>18.093672032528954</v>
      </c>
      <c r="V74" s="22">
        <f t="shared" si="46"/>
        <v>18.100859138334368</v>
      </c>
      <c r="W74" s="19"/>
      <c r="X74" s="19"/>
      <c r="Y74" s="22">
        <f t="shared" si="10"/>
        <v>0</v>
      </c>
      <c r="Z74" s="22">
        <f t="shared" si="11"/>
        <v>0</v>
      </c>
      <c r="AA74" s="22">
        <f t="shared" si="12"/>
        <v>0</v>
      </c>
      <c r="AB74" s="22">
        <f t="shared" si="13"/>
        <v>0</v>
      </c>
      <c r="AC74" s="22">
        <f t="shared" si="14"/>
        <v>0</v>
      </c>
      <c r="AD74" s="22">
        <f t="shared" si="15"/>
        <v>0</v>
      </c>
      <c r="AE74" s="22">
        <f t="shared" si="16"/>
        <v>0</v>
      </c>
      <c r="AF74" s="22">
        <f t="shared" si="17"/>
        <v>0</v>
      </c>
      <c r="AG74" s="22">
        <f t="shared" si="18"/>
        <v>0</v>
      </c>
      <c r="AH74" s="22">
        <f t="shared" si="19"/>
        <v>0</v>
      </c>
      <c r="AI74" s="22">
        <f t="shared" si="20"/>
        <v>0</v>
      </c>
      <c r="AJ74" s="22">
        <f t="shared" si="21"/>
        <v>0</v>
      </c>
      <c r="AK74" s="22">
        <f t="shared" si="22"/>
        <v>0</v>
      </c>
      <c r="AL74" s="22">
        <f t="shared" si="23"/>
        <v>9.2392056043918855E-2</v>
      </c>
      <c r="AM74" s="22">
        <f t="shared" si="24"/>
        <v>0</v>
      </c>
      <c r="AN74" s="22">
        <f t="shared" si="25"/>
        <v>0</v>
      </c>
      <c r="AO74" s="22">
        <f t="shared" si="26"/>
        <v>0</v>
      </c>
      <c r="AP74" s="22">
        <f t="shared" si="27"/>
        <v>0</v>
      </c>
      <c r="AQ74" s="22">
        <f t="shared" si="28"/>
        <v>0</v>
      </c>
      <c r="AR74" s="22">
        <f t="shared" si="29"/>
        <v>0</v>
      </c>
    </row>
    <row r="75" spans="1:44" x14ac:dyDescent="0.25">
      <c r="A75" s="29">
        <f t="shared" si="8"/>
        <v>0</v>
      </c>
      <c r="B75" s="19">
        <v>20</v>
      </c>
      <c r="C75" s="22">
        <f t="shared" ref="C75:V75" si="47">IF(SUM(C$32:C$51)&gt;1,$Y$4,1*$Y$3)+IF(SUM($C51:$V51)&gt;1,$Y$4,1*$Y$3)+C123+$Y$5+$Y$8</f>
        <v>18.072063053676448</v>
      </c>
      <c r="D75" s="22">
        <f t="shared" si="47"/>
        <v>18.121564257612452</v>
      </c>
      <c r="E75" s="22">
        <f t="shared" si="47"/>
        <v>18.043458654824292</v>
      </c>
      <c r="F75" s="22">
        <f t="shared" si="47"/>
        <v>18.107868840349308</v>
      </c>
      <c r="G75" s="22">
        <f t="shared" si="47"/>
        <v>18.121564257612452</v>
      </c>
      <c r="H75" s="22">
        <f t="shared" si="47"/>
        <v>18.162683823466892</v>
      </c>
      <c r="I75" s="22">
        <f t="shared" si="47"/>
        <v>18.056462256399403</v>
      </c>
      <c r="J75" s="22">
        <f t="shared" si="47"/>
        <v>18.209052637782968</v>
      </c>
      <c r="K75" s="22">
        <f t="shared" si="47"/>
        <v>18.375997315294217</v>
      </c>
      <c r="L75" s="22">
        <f t="shared" si="47"/>
        <v>18.162683823466892</v>
      </c>
      <c r="M75" s="22">
        <f t="shared" si="47"/>
        <v>18.102490329294987</v>
      </c>
      <c r="N75" s="22">
        <f t="shared" si="47"/>
        <v>18.075438077163337</v>
      </c>
      <c r="O75" s="22">
        <f t="shared" si="47"/>
        <v>18.065371535053455</v>
      </c>
      <c r="P75" s="22">
        <f t="shared" si="47"/>
        <v>18.080963484615342</v>
      </c>
      <c r="Q75" s="22">
        <f t="shared" si="47"/>
        <v>18.054535349666693</v>
      </c>
      <c r="R75" s="22">
        <f t="shared" si="47"/>
        <v>18.209052637782968</v>
      </c>
      <c r="S75" s="22">
        <f t="shared" si="47"/>
        <v>18.068501956580711</v>
      </c>
      <c r="T75" s="22">
        <f t="shared" si="47"/>
        <v>18.082753855137934</v>
      </c>
      <c r="U75" s="22">
        <f t="shared" si="47"/>
        <v>18.093672032528954</v>
      </c>
      <c r="V75" s="22">
        <f t="shared" si="47"/>
        <v>18.100859138334368</v>
      </c>
      <c r="W75" s="19" t="s">
        <v>7</v>
      </c>
      <c r="X75" s="19">
        <f>AVERAGE(C56:V75)</f>
        <v>18.108908811030062</v>
      </c>
      <c r="Y75" s="22">
        <f t="shared" si="10"/>
        <v>0</v>
      </c>
      <c r="Z75" s="22">
        <f t="shared" si="11"/>
        <v>0</v>
      </c>
      <c r="AA75" s="22">
        <f t="shared" si="12"/>
        <v>0</v>
      </c>
      <c r="AB75" s="22">
        <f t="shared" si="13"/>
        <v>0</v>
      </c>
      <c r="AC75" s="22">
        <f t="shared" si="14"/>
        <v>0</v>
      </c>
      <c r="AD75" s="22">
        <f t="shared" si="15"/>
        <v>0</v>
      </c>
      <c r="AE75" s="22">
        <f t="shared" si="16"/>
        <v>0</v>
      </c>
      <c r="AF75" s="22">
        <f t="shared" si="17"/>
        <v>0</v>
      </c>
      <c r="AG75" s="22">
        <f t="shared" si="18"/>
        <v>0</v>
      </c>
      <c r="AH75" s="22">
        <f t="shared" si="19"/>
        <v>0</v>
      </c>
      <c r="AI75" s="22">
        <f t="shared" si="20"/>
        <v>0</v>
      </c>
      <c r="AJ75" s="22">
        <f t="shared" si="21"/>
        <v>0</v>
      </c>
      <c r="AK75" s="22">
        <f t="shared" si="22"/>
        <v>0</v>
      </c>
      <c r="AL75" s="22">
        <f t="shared" si="23"/>
        <v>0</v>
      </c>
      <c r="AM75" s="22">
        <f t="shared" si="24"/>
        <v>0</v>
      </c>
      <c r="AN75" s="22">
        <f t="shared" si="25"/>
        <v>0</v>
      </c>
      <c r="AO75" s="22">
        <f t="shared" si="26"/>
        <v>0</v>
      </c>
      <c r="AP75" s="22">
        <f t="shared" si="27"/>
        <v>9.4182426566510088E-2</v>
      </c>
      <c r="AQ75" s="22">
        <f t="shared" si="28"/>
        <v>0</v>
      </c>
      <c r="AR75" s="22">
        <f t="shared" si="29"/>
        <v>0</v>
      </c>
    </row>
    <row r="76" spans="1:44" x14ac:dyDescent="0.25">
      <c r="W76" s="19" t="s">
        <v>8</v>
      </c>
      <c r="X76" s="19">
        <f>SUM(C56:V75)</f>
        <v>7243.5635244120249</v>
      </c>
      <c r="AB76" s="20" t="s">
        <v>8</v>
      </c>
      <c r="AC76" s="22">
        <f>SUM(Y56:AR75)</f>
        <v>2.277996149752501</v>
      </c>
    </row>
    <row r="77" spans="1:44" x14ac:dyDescent="0.25">
      <c r="W77" s="19" t="s">
        <v>20</v>
      </c>
      <c r="X77" s="19">
        <f>_xlfn.STDEV.P(C56:V75)</f>
        <v>7.125567969865515E-2</v>
      </c>
      <c r="AB77" s="20" t="s">
        <v>7</v>
      </c>
      <c r="AC77" s="22">
        <f>AC76/X51</f>
        <v>0.16271401069660721</v>
      </c>
    </row>
    <row r="78" spans="1:44" x14ac:dyDescent="0.25">
      <c r="A78" s="29">
        <f>SUM(A56:A75)+SUM(C78:V78)</f>
        <v>0</v>
      </c>
      <c r="C78" s="20">
        <f>IF(SUM(C56:C75)&lt;0,1,0)</f>
        <v>0</v>
      </c>
      <c r="D78" s="20">
        <f t="shared" ref="D78:V78" si="48">IF(SUM(D56:D75)&lt;0,1,0)</f>
        <v>0</v>
      </c>
      <c r="E78" s="20">
        <f t="shared" si="48"/>
        <v>0</v>
      </c>
      <c r="F78" s="20">
        <f t="shared" si="48"/>
        <v>0</v>
      </c>
      <c r="G78" s="20">
        <f t="shared" si="48"/>
        <v>0</v>
      </c>
      <c r="H78" s="20">
        <f t="shared" si="48"/>
        <v>0</v>
      </c>
      <c r="I78" s="20">
        <f t="shared" si="48"/>
        <v>0</v>
      </c>
      <c r="J78" s="20">
        <f t="shared" si="48"/>
        <v>0</v>
      </c>
      <c r="K78" s="20">
        <f t="shared" si="48"/>
        <v>0</v>
      </c>
      <c r="L78" s="20">
        <f t="shared" si="48"/>
        <v>0</v>
      </c>
      <c r="M78" s="20">
        <f t="shared" si="48"/>
        <v>0</v>
      </c>
      <c r="N78" s="20">
        <f t="shared" si="48"/>
        <v>0</v>
      </c>
      <c r="O78" s="20">
        <f t="shared" si="48"/>
        <v>0</v>
      </c>
      <c r="P78" s="20">
        <f t="shared" si="48"/>
        <v>0</v>
      </c>
      <c r="Q78" s="20">
        <f t="shared" si="48"/>
        <v>0</v>
      </c>
      <c r="R78" s="20">
        <f t="shared" si="48"/>
        <v>0</v>
      </c>
      <c r="S78" s="20">
        <f t="shared" si="48"/>
        <v>0</v>
      </c>
      <c r="T78" s="20">
        <f t="shared" si="48"/>
        <v>0</v>
      </c>
      <c r="U78" s="20">
        <f t="shared" si="48"/>
        <v>0</v>
      </c>
      <c r="V78" s="20">
        <f t="shared" si="48"/>
        <v>0</v>
      </c>
      <c r="W78" s="19"/>
      <c r="X78" s="19"/>
    </row>
    <row r="79" spans="1:44" x14ac:dyDescent="0.25">
      <c r="C79" s="20">
        <v>1</v>
      </c>
      <c r="D79" s="20">
        <v>2</v>
      </c>
      <c r="E79" s="20">
        <v>3</v>
      </c>
      <c r="F79" s="20">
        <v>4</v>
      </c>
      <c r="G79" s="20">
        <v>5</v>
      </c>
      <c r="H79" s="20">
        <v>6</v>
      </c>
      <c r="I79" s="20">
        <v>7</v>
      </c>
      <c r="J79" s="20">
        <v>8</v>
      </c>
      <c r="K79" s="20">
        <v>9</v>
      </c>
      <c r="L79" s="20">
        <v>10</v>
      </c>
      <c r="M79" s="20">
        <v>11</v>
      </c>
      <c r="N79" s="20">
        <v>12</v>
      </c>
      <c r="O79" s="20">
        <v>13</v>
      </c>
      <c r="P79" s="20">
        <v>14</v>
      </c>
      <c r="Q79" s="20">
        <v>15</v>
      </c>
      <c r="R79" s="20">
        <v>16</v>
      </c>
      <c r="S79" s="20">
        <v>17</v>
      </c>
      <c r="T79" s="20">
        <v>18</v>
      </c>
      <c r="U79" s="20">
        <v>19</v>
      </c>
      <c r="V79" s="20">
        <v>20</v>
      </c>
      <c r="W79" s="19"/>
      <c r="X79" s="19"/>
    </row>
    <row r="80" spans="1:44" x14ac:dyDescent="0.25">
      <c r="B80" s="19">
        <v>1</v>
      </c>
      <c r="C80" s="20">
        <f>IF((C56+$Y$2)&gt;0,1,0)</f>
        <v>1</v>
      </c>
      <c r="D80" s="20">
        <f>IF((D56+$Y$2)&gt;0,1,0)</f>
        <v>1</v>
      </c>
      <c r="E80" s="20">
        <f t="shared" ref="E80:V80" si="49">IF((E56+$Y$2)&gt;0,1,0)</f>
        <v>1</v>
      </c>
      <c r="F80" s="20">
        <f t="shared" si="49"/>
        <v>1</v>
      </c>
      <c r="G80" s="20">
        <f t="shared" si="49"/>
        <v>1</v>
      </c>
      <c r="H80" s="20">
        <f t="shared" si="49"/>
        <v>1</v>
      </c>
      <c r="I80" s="20">
        <f t="shared" si="49"/>
        <v>1</v>
      </c>
      <c r="J80" s="20">
        <f t="shared" si="49"/>
        <v>1</v>
      </c>
      <c r="K80" s="20">
        <f t="shared" si="49"/>
        <v>1</v>
      </c>
      <c r="L80" s="20">
        <f t="shared" si="49"/>
        <v>1</v>
      </c>
      <c r="M80" s="20">
        <f t="shared" si="49"/>
        <v>1</v>
      </c>
      <c r="N80" s="20">
        <f t="shared" si="49"/>
        <v>1</v>
      </c>
      <c r="O80" s="20">
        <f t="shared" si="49"/>
        <v>1</v>
      </c>
      <c r="P80" s="20">
        <f t="shared" si="49"/>
        <v>1</v>
      </c>
      <c r="Q80" s="20">
        <f t="shared" si="49"/>
        <v>1</v>
      </c>
      <c r="R80" s="20">
        <f t="shared" si="49"/>
        <v>1</v>
      </c>
      <c r="S80" s="20">
        <f t="shared" si="49"/>
        <v>1</v>
      </c>
      <c r="T80" s="20">
        <f t="shared" si="49"/>
        <v>1</v>
      </c>
      <c r="U80" s="20">
        <f t="shared" si="49"/>
        <v>1</v>
      </c>
      <c r="V80" s="20">
        <f t="shared" si="49"/>
        <v>1</v>
      </c>
      <c r="W80" s="19"/>
      <c r="X80" s="19"/>
      <c r="Y80" s="20">
        <f>IF(ABS(C56-$X$75)&gt;=($X$77*(1-$Y$7)),C80,C32)</f>
        <v>0</v>
      </c>
      <c r="Z80" s="20">
        <f t="shared" ref="Z80:AR93" si="50">IF(ABS(D56-$X$75)&gt;=($X$77*(1-$Y$7)),D80,D32)</f>
        <v>1</v>
      </c>
      <c r="AA80" s="20">
        <f t="shared" si="50"/>
        <v>0</v>
      </c>
      <c r="AB80" s="20">
        <f t="shared" si="50"/>
        <v>0</v>
      </c>
      <c r="AC80" s="20">
        <f t="shared" si="50"/>
        <v>0</v>
      </c>
      <c r="AD80" s="20">
        <f t="shared" si="50"/>
        <v>1</v>
      </c>
      <c r="AE80" s="20">
        <f t="shared" si="50"/>
        <v>0</v>
      </c>
      <c r="AF80" s="20">
        <f t="shared" si="50"/>
        <v>0</v>
      </c>
      <c r="AG80" s="20">
        <f t="shared" si="50"/>
        <v>1</v>
      </c>
      <c r="AH80" s="20">
        <f t="shared" si="50"/>
        <v>0</v>
      </c>
      <c r="AI80" s="20">
        <f t="shared" si="50"/>
        <v>0</v>
      </c>
      <c r="AJ80" s="20">
        <f t="shared" si="50"/>
        <v>0</v>
      </c>
      <c r="AK80" s="20">
        <f t="shared" si="50"/>
        <v>0</v>
      </c>
      <c r="AL80" s="20">
        <f t="shared" si="50"/>
        <v>0</v>
      </c>
      <c r="AM80" s="20">
        <f t="shared" si="50"/>
        <v>0</v>
      </c>
      <c r="AN80" s="20">
        <f t="shared" si="50"/>
        <v>0</v>
      </c>
      <c r="AO80" s="20">
        <f t="shared" si="50"/>
        <v>0</v>
      </c>
      <c r="AP80" s="20">
        <f t="shared" si="50"/>
        <v>0</v>
      </c>
      <c r="AQ80" s="20">
        <f t="shared" si="50"/>
        <v>0</v>
      </c>
      <c r="AR80" s="20">
        <f t="shared" si="50"/>
        <v>0</v>
      </c>
    </row>
    <row r="81" spans="2:44" x14ac:dyDescent="0.25">
      <c r="B81" s="19">
        <v>2</v>
      </c>
      <c r="C81" s="20">
        <f t="shared" ref="C81:D81" si="51">IF((C57+$Y$2)&gt;0,1,0)</f>
        <v>1</v>
      </c>
      <c r="D81" s="20">
        <f t="shared" si="51"/>
        <v>1</v>
      </c>
      <c r="E81" s="20">
        <f t="shared" ref="E81:V81" si="52">IF((E57+$Y$2)&gt;0,1,0)</f>
        <v>1</v>
      </c>
      <c r="F81" s="20">
        <f t="shared" si="52"/>
        <v>1</v>
      </c>
      <c r="G81" s="20">
        <f t="shared" si="52"/>
        <v>1</v>
      </c>
      <c r="H81" s="20">
        <f t="shared" si="52"/>
        <v>1</v>
      </c>
      <c r="I81" s="20">
        <f t="shared" si="52"/>
        <v>1</v>
      </c>
      <c r="J81" s="20">
        <f t="shared" si="52"/>
        <v>1</v>
      </c>
      <c r="K81" s="20">
        <f t="shared" si="52"/>
        <v>1</v>
      </c>
      <c r="L81" s="20">
        <f t="shared" si="52"/>
        <v>1</v>
      </c>
      <c r="M81" s="20">
        <f t="shared" si="52"/>
        <v>1</v>
      </c>
      <c r="N81" s="20">
        <f t="shared" si="52"/>
        <v>1</v>
      </c>
      <c r="O81" s="20">
        <f t="shared" si="52"/>
        <v>1</v>
      </c>
      <c r="P81" s="20">
        <f t="shared" si="52"/>
        <v>1</v>
      </c>
      <c r="Q81" s="20">
        <f t="shared" si="52"/>
        <v>1</v>
      </c>
      <c r="R81" s="20">
        <f t="shared" si="52"/>
        <v>1</v>
      </c>
      <c r="S81" s="20">
        <f t="shared" si="52"/>
        <v>1</v>
      </c>
      <c r="T81" s="20">
        <f t="shared" si="52"/>
        <v>1</v>
      </c>
      <c r="U81" s="20">
        <f t="shared" si="52"/>
        <v>1</v>
      </c>
      <c r="V81" s="20">
        <f t="shared" si="52"/>
        <v>1</v>
      </c>
      <c r="W81" s="19"/>
      <c r="X81" s="19"/>
      <c r="Y81" s="20">
        <f t="shared" ref="Y81:Y99" si="53">IF(ABS(C57-$X$75)&gt;=($X$77*(1-$Y$7)),C81,C33)</f>
        <v>0</v>
      </c>
      <c r="Z81" s="20">
        <f t="shared" si="50"/>
        <v>0</v>
      </c>
      <c r="AA81" s="20">
        <f t="shared" si="50"/>
        <v>0</v>
      </c>
      <c r="AB81" s="20">
        <f t="shared" si="50"/>
        <v>0</v>
      </c>
      <c r="AC81" s="20">
        <f t="shared" si="50"/>
        <v>0</v>
      </c>
      <c r="AD81" s="20">
        <f t="shared" si="50"/>
        <v>0</v>
      </c>
      <c r="AE81" s="20">
        <f t="shared" si="50"/>
        <v>0</v>
      </c>
      <c r="AF81" s="20">
        <f t="shared" si="50"/>
        <v>0</v>
      </c>
      <c r="AG81" s="20">
        <f t="shared" si="50"/>
        <v>0</v>
      </c>
      <c r="AH81" s="20">
        <f t="shared" si="50"/>
        <v>0</v>
      </c>
      <c r="AI81" s="20">
        <f t="shared" si="50"/>
        <v>0</v>
      </c>
      <c r="AJ81" s="20">
        <f t="shared" si="50"/>
        <v>1</v>
      </c>
      <c r="AK81" s="20">
        <f t="shared" si="50"/>
        <v>0</v>
      </c>
      <c r="AL81" s="20">
        <f t="shared" si="50"/>
        <v>0</v>
      </c>
      <c r="AM81" s="20">
        <f t="shared" si="50"/>
        <v>0</v>
      </c>
      <c r="AN81" s="20">
        <f t="shared" si="50"/>
        <v>0</v>
      </c>
      <c r="AO81" s="20">
        <f t="shared" si="50"/>
        <v>0</v>
      </c>
      <c r="AP81" s="20">
        <f t="shared" si="50"/>
        <v>1</v>
      </c>
      <c r="AQ81" s="20">
        <f t="shared" si="50"/>
        <v>0</v>
      </c>
      <c r="AR81" s="20">
        <f t="shared" si="50"/>
        <v>0</v>
      </c>
    </row>
    <row r="82" spans="2:44" x14ac:dyDescent="0.25">
      <c r="B82" s="19">
        <v>3</v>
      </c>
      <c r="C82" s="20">
        <f t="shared" ref="C82:D82" si="54">IF((C58+$Y$2)&gt;0,1,0)</f>
        <v>1</v>
      </c>
      <c r="D82" s="20">
        <f t="shared" si="54"/>
        <v>1</v>
      </c>
      <c r="E82" s="20">
        <f t="shared" ref="E82:V82" si="55">IF((E58+$Y$2)&gt;0,1,0)</f>
        <v>1</v>
      </c>
      <c r="F82" s="20">
        <f t="shared" si="55"/>
        <v>1</v>
      </c>
      <c r="G82" s="20">
        <f t="shared" si="55"/>
        <v>1</v>
      </c>
      <c r="H82" s="20">
        <f t="shared" si="55"/>
        <v>1</v>
      </c>
      <c r="I82" s="20">
        <f t="shared" si="55"/>
        <v>1</v>
      </c>
      <c r="J82" s="20">
        <f t="shared" si="55"/>
        <v>1</v>
      </c>
      <c r="K82" s="20">
        <f t="shared" si="55"/>
        <v>1</v>
      </c>
      <c r="L82" s="20">
        <f t="shared" si="55"/>
        <v>1</v>
      </c>
      <c r="M82" s="20">
        <f t="shared" si="55"/>
        <v>1</v>
      </c>
      <c r="N82" s="20">
        <f t="shared" si="55"/>
        <v>1</v>
      </c>
      <c r="O82" s="20">
        <f t="shared" si="55"/>
        <v>1</v>
      </c>
      <c r="P82" s="20">
        <f t="shared" si="55"/>
        <v>1</v>
      </c>
      <c r="Q82" s="20">
        <f t="shared" si="55"/>
        <v>1</v>
      </c>
      <c r="R82" s="20">
        <f t="shared" si="55"/>
        <v>1</v>
      </c>
      <c r="S82" s="20">
        <f t="shared" si="55"/>
        <v>1</v>
      </c>
      <c r="T82" s="20">
        <f t="shared" si="55"/>
        <v>1</v>
      </c>
      <c r="U82" s="20">
        <f t="shared" si="55"/>
        <v>1</v>
      </c>
      <c r="V82" s="20">
        <f t="shared" si="55"/>
        <v>1</v>
      </c>
      <c r="W82" s="19"/>
      <c r="X82" s="19"/>
      <c r="Y82" s="20">
        <f t="shared" si="53"/>
        <v>1</v>
      </c>
      <c r="Z82" s="20">
        <f t="shared" si="50"/>
        <v>0</v>
      </c>
      <c r="AA82" s="20">
        <f t="shared" si="50"/>
        <v>0</v>
      </c>
      <c r="AB82" s="20">
        <f t="shared" si="50"/>
        <v>0</v>
      </c>
      <c r="AC82" s="20">
        <f t="shared" si="50"/>
        <v>0</v>
      </c>
      <c r="AD82" s="20">
        <f t="shared" si="50"/>
        <v>0</v>
      </c>
      <c r="AE82" s="20">
        <f t="shared" si="50"/>
        <v>0</v>
      </c>
      <c r="AF82" s="20">
        <f t="shared" si="50"/>
        <v>0</v>
      </c>
      <c r="AG82" s="20">
        <f t="shared" si="50"/>
        <v>0</v>
      </c>
      <c r="AH82" s="20">
        <f t="shared" si="50"/>
        <v>0</v>
      </c>
      <c r="AI82" s="20">
        <f t="shared" si="50"/>
        <v>0</v>
      </c>
      <c r="AJ82" s="20">
        <f t="shared" si="50"/>
        <v>0</v>
      </c>
      <c r="AK82" s="20">
        <f t="shared" si="50"/>
        <v>0</v>
      </c>
      <c r="AL82" s="20">
        <f t="shared" si="50"/>
        <v>0</v>
      </c>
      <c r="AM82" s="20">
        <f t="shared" si="50"/>
        <v>0</v>
      </c>
      <c r="AN82" s="20">
        <f t="shared" si="50"/>
        <v>0</v>
      </c>
      <c r="AO82" s="20">
        <f t="shared" si="50"/>
        <v>0</v>
      </c>
      <c r="AP82" s="20">
        <f t="shared" si="50"/>
        <v>0</v>
      </c>
      <c r="AQ82" s="20">
        <f t="shared" si="50"/>
        <v>0</v>
      </c>
      <c r="AR82" s="20">
        <f t="shared" si="50"/>
        <v>0</v>
      </c>
    </row>
    <row r="83" spans="2:44" x14ac:dyDescent="0.25">
      <c r="B83" s="19">
        <v>4</v>
      </c>
      <c r="C83" s="20">
        <f t="shared" ref="C83:D83" si="56">IF((C59+$Y$2)&gt;0,1,0)</f>
        <v>1</v>
      </c>
      <c r="D83" s="20">
        <f t="shared" si="56"/>
        <v>1</v>
      </c>
      <c r="E83" s="20">
        <f t="shared" ref="E83:V83" si="57">IF((E59+$Y$2)&gt;0,1,0)</f>
        <v>1</v>
      </c>
      <c r="F83" s="20">
        <f t="shared" si="57"/>
        <v>1</v>
      </c>
      <c r="G83" s="20">
        <f t="shared" si="57"/>
        <v>1</v>
      </c>
      <c r="H83" s="20">
        <f t="shared" si="57"/>
        <v>1</v>
      </c>
      <c r="I83" s="20">
        <f t="shared" si="57"/>
        <v>1</v>
      </c>
      <c r="J83" s="20">
        <f t="shared" si="57"/>
        <v>1</v>
      </c>
      <c r="K83" s="20">
        <f t="shared" si="57"/>
        <v>1</v>
      </c>
      <c r="L83" s="20">
        <f t="shared" si="57"/>
        <v>1</v>
      </c>
      <c r="M83" s="20">
        <f t="shared" si="57"/>
        <v>1</v>
      </c>
      <c r="N83" s="20">
        <f t="shared" si="57"/>
        <v>1</v>
      </c>
      <c r="O83" s="20">
        <f t="shared" si="57"/>
        <v>1</v>
      </c>
      <c r="P83" s="20">
        <f t="shared" si="57"/>
        <v>1</v>
      </c>
      <c r="Q83" s="20">
        <f t="shared" si="57"/>
        <v>1</v>
      </c>
      <c r="R83" s="20">
        <f t="shared" si="57"/>
        <v>1</v>
      </c>
      <c r="S83" s="20">
        <f t="shared" si="57"/>
        <v>1</v>
      </c>
      <c r="T83" s="20">
        <f t="shared" si="57"/>
        <v>1</v>
      </c>
      <c r="U83" s="20">
        <f t="shared" si="57"/>
        <v>1</v>
      </c>
      <c r="V83" s="20">
        <f t="shared" si="57"/>
        <v>1</v>
      </c>
      <c r="W83" s="19"/>
      <c r="X83" s="19"/>
      <c r="Y83" s="20">
        <f t="shared" si="53"/>
        <v>0</v>
      </c>
      <c r="Z83" s="20">
        <f t="shared" si="50"/>
        <v>0</v>
      </c>
      <c r="AA83" s="20">
        <f t="shared" si="50"/>
        <v>0</v>
      </c>
      <c r="AB83" s="20">
        <f t="shared" si="50"/>
        <v>0</v>
      </c>
      <c r="AC83" s="20">
        <f t="shared" si="50"/>
        <v>0</v>
      </c>
      <c r="AD83" s="20">
        <f t="shared" si="50"/>
        <v>1</v>
      </c>
      <c r="AE83" s="20">
        <f t="shared" si="50"/>
        <v>1</v>
      </c>
      <c r="AF83" s="20">
        <f t="shared" si="50"/>
        <v>0</v>
      </c>
      <c r="AG83" s="20">
        <f t="shared" si="50"/>
        <v>1</v>
      </c>
      <c r="AH83" s="20">
        <f t="shared" si="50"/>
        <v>0</v>
      </c>
      <c r="AI83" s="20">
        <f t="shared" si="50"/>
        <v>0</v>
      </c>
      <c r="AJ83" s="20">
        <f t="shared" si="50"/>
        <v>0</v>
      </c>
      <c r="AK83" s="20">
        <f t="shared" si="50"/>
        <v>0</v>
      </c>
      <c r="AL83" s="20">
        <f t="shared" si="50"/>
        <v>0</v>
      </c>
      <c r="AM83" s="20">
        <f t="shared" si="50"/>
        <v>0</v>
      </c>
      <c r="AN83" s="20">
        <f t="shared" si="50"/>
        <v>0</v>
      </c>
      <c r="AO83" s="20">
        <f t="shared" si="50"/>
        <v>0</v>
      </c>
      <c r="AP83" s="20">
        <f t="shared" si="50"/>
        <v>0</v>
      </c>
      <c r="AQ83" s="20">
        <f t="shared" si="50"/>
        <v>0</v>
      </c>
      <c r="AR83" s="20">
        <f t="shared" si="50"/>
        <v>0</v>
      </c>
    </row>
    <row r="84" spans="2:44" x14ac:dyDescent="0.25">
      <c r="B84" s="19">
        <v>5</v>
      </c>
      <c r="C84" s="20">
        <f t="shared" ref="C84:D84" si="58">IF((C60+$Y$2)&gt;0,1,0)</f>
        <v>1</v>
      </c>
      <c r="D84" s="20">
        <f t="shared" si="58"/>
        <v>1</v>
      </c>
      <c r="E84" s="20">
        <f t="shared" ref="E84:V84" si="59">IF((E60+$Y$2)&gt;0,1,0)</f>
        <v>1</v>
      </c>
      <c r="F84" s="20">
        <f t="shared" si="59"/>
        <v>1</v>
      </c>
      <c r="G84" s="20">
        <f t="shared" si="59"/>
        <v>1</v>
      </c>
      <c r="H84" s="20">
        <f t="shared" si="59"/>
        <v>1</v>
      </c>
      <c r="I84" s="20">
        <f t="shared" si="59"/>
        <v>1</v>
      </c>
      <c r="J84" s="20">
        <f t="shared" si="59"/>
        <v>1</v>
      </c>
      <c r="K84" s="20">
        <f t="shared" si="59"/>
        <v>1</v>
      </c>
      <c r="L84" s="20">
        <f t="shared" si="59"/>
        <v>1</v>
      </c>
      <c r="M84" s="20">
        <f t="shared" si="59"/>
        <v>1</v>
      </c>
      <c r="N84" s="20">
        <f t="shared" si="59"/>
        <v>1</v>
      </c>
      <c r="O84" s="20">
        <f t="shared" si="59"/>
        <v>1</v>
      </c>
      <c r="P84" s="20">
        <f t="shared" si="59"/>
        <v>1</v>
      </c>
      <c r="Q84" s="20">
        <f t="shared" si="59"/>
        <v>1</v>
      </c>
      <c r="R84" s="20">
        <f t="shared" si="59"/>
        <v>1</v>
      </c>
      <c r="S84" s="20">
        <f t="shared" si="59"/>
        <v>1</v>
      </c>
      <c r="T84" s="20">
        <f t="shared" si="59"/>
        <v>1</v>
      </c>
      <c r="U84" s="20">
        <f t="shared" si="59"/>
        <v>1</v>
      </c>
      <c r="V84" s="20">
        <f t="shared" si="59"/>
        <v>1</v>
      </c>
      <c r="W84" s="19"/>
      <c r="X84" s="19"/>
      <c r="Y84" s="20">
        <f t="shared" si="53"/>
        <v>0</v>
      </c>
      <c r="Z84" s="20">
        <f t="shared" si="50"/>
        <v>0</v>
      </c>
      <c r="AA84" s="20">
        <f t="shared" si="50"/>
        <v>0</v>
      </c>
      <c r="AB84" s="20">
        <f t="shared" si="50"/>
        <v>0</v>
      </c>
      <c r="AC84" s="20">
        <f t="shared" si="50"/>
        <v>0</v>
      </c>
      <c r="AD84" s="20">
        <f t="shared" si="50"/>
        <v>0</v>
      </c>
      <c r="AE84" s="20">
        <f t="shared" si="50"/>
        <v>1</v>
      </c>
      <c r="AF84" s="20">
        <f t="shared" si="50"/>
        <v>0</v>
      </c>
      <c r="AG84" s="20">
        <f t="shared" si="50"/>
        <v>0</v>
      </c>
      <c r="AH84" s="20">
        <f t="shared" si="50"/>
        <v>0</v>
      </c>
      <c r="AI84" s="20">
        <f t="shared" si="50"/>
        <v>1</v>
      </c>
      <c r="AJ84" s="20">
        <f t="shared" si="50"/>
        <v>0</v>
      </c>
      <c r="AK84" s="20">
        <f t="shared" si="50"/>
        <v>0</v>
      </c>
      <c r="AL84" s="20">
        <f t="shared" si="50"/>
        <v>0</v>
      </c>
      <c r="AM84" s="20">
        <f t="shared" si="50"/>
        <v>0</v>
      </c>
      <c r="AN84" s="20">
        <f t="shared" si="50"/>
        <v>0</v>
      </c>
      <c r="AO84" s="20">
        <f t="shared" si="50"/>
        <v>1</v>
      </c>
      <c r="AP84" s="20">
        <f t="shared" si="50"/>
        <v>0</v>
      </c>
      <c r="AQ84" s="20">
        <f t="shared" si="50"/>
        <v>1</v>
      </c>
      <c r="AR84" s="20">
        <f t="shared" si="50"/>
        <v>1</v>
      </c>
    </row>
    <row r="85" spans="2:44" x14ac:dyDescent="0.25">
      <c r="B85" s="19">
        <v>6</v>
      </c>
      <c r="C85" s="20">
        <f t="shared" ref="C85:D85" si="60">IF((C61+$Y$2)&gt;0,1,0)</f>
        <v>1</v>
      </c>
      <c r="D85" s="20">
        <f t="shared" si="60"/>
        <v>1</v>
      </c>
      <c r="E85" s="20">
        <f t="shared" ref="E85:V85" si="61">IF((E61+$Y$2)&gt;0,1,0)</f>
        <v>1</v>
      </c>
      <c r="F85" s="20">
        <f t="shared" si="61"/>
        <v>1</v>
      </c>
      <c r="G85" s="20">
        <f t="shared" si="61"/>
        <v>1</v>
      </c>
      <c r="H85" s="20">
        <f t="shared" si="61"/>
        <v>1</v>
      </c>
      <c r="I85" s="20">
        <f t="shared" si="61"/>
        <v>1</v>
      </c>
      <c r="J85" s="20">
        <f t="shared" si="61"/>
        <v>1</v>
      </c>
      <c r="K85" s="20">
        <f t="shared" si="61"/>
        <v>1</v>
      </c>
      <c r="L85" s="20">
        <f t="shared" si="61"/>
        <v>1</v>
      </c>
      <c r="M85" s="20">
        <f t="shared" si="61"/>
        <v>1</v>
      </c>
      <c r="N85" s="20">
        <f t="shared" si="61"/>
        <v>1</v>
      </c>
      <c r="O85" s="20">
        <f t="shared" si="61"/>
        <v>1</v>
      </c>
      <c r="P85" s="20">
        <f t="shared" si="61"/>
        <v>1</v>
      </c>
      <c r="Q85" s="20">
        <f t="shared" si="61"/>
        <v>1</v>
      </c>
      <c r="R85" s="20">
        <f t="shared" si="61"/>
        <v>1</v>
      </c>
      <c r="S85" s="20">
        <f t="shared" si="61"/>
        <v>1</v>
      </c>
      <c r="T85" s="20">
        <f t="shared" si="61"/>
        <v>1</v>
      </c>
      <c r="U85" s="20">
        <f t="shared" si="61"/>
        <v>1</v>
      </c>
      <c r="V85" s="20">
        <f t="shared" si="61"/>
        <v>1</v>
      </c>
      <c r="W85" s="19"/>
      <c r="X85" s="19"/>
      <c r="Y85" s="20">
        <f t="shared" si="53"/>
        <v>0</v>
      </c>
      <c r="Z85" s="20">
        <f t="shared" si="50"/>
        <v>0</v>
      </c>
      <c r="AA85" s="20">
        <f t="shared" si="50"/>
        <v>1</v>
      </c>
      <c r="AB85" s="20">
        <f t="shared" si="50"/>
        <v>0</v>
      </c>
      <c r="AC85" s="20">
        <f t="shared" si="50"/>
        <v>0</v>
      </c>
      <c r="AD85" s="20">
        <f t="shared" si="50"/>
        <v>0</v>
      </c>
      <c r="AE85" s="20">
        <f t="shared" si="50"/>
        <v>0</v>
      </c>
      <c r="AF85" s="20">
        <f t="shared" si="50"/>
        <v>0</v>
      </c>
      <c r="AG85" s="20">
        <f t="shared" si="50"/>
        <v>0</v>
      </c>
      <c r="AH85" s="20">
        <f t="shared" si="50"/>
        <v>0</v>
      </c>
      <c r="AI85" s="20">
        <f t="shared" si="50"/>
        <v>0</v>
      </c>
      <c r="AJ85" s="20">
        <f t="shared" si="50"/>
        <v>0</v>
      </c>
      <c r="AK85" s="20">
        <f t="shared" si="50"/>
        <v>0</v>
      </c>
      <c r="AL85" s="20">
        <f t="shared" si="50"/>
        <v>0</v>
      </c>
      <c r="AM85" s="20">
        <f t="shared" si="50"/>
        <v>1</v>
      </c>
      <c r="AN85" s="20">
        <f t="shared" si="50"/>
        <v>0</v>
      </c>
      <c r="AO85" s="20">
        <f t="shared" si="50"/>
        <v>0</v>
      </c>
      <c r="AP85" s="20">
        <f t="shared" si="50"/>
        <v>0</v>
      </c>
      <c r="AQ85" s="20">
        <f t="shared" si="50"/>
        <v>0</v>
      </c>
      <c r="AR85" s="20">
        <f t="shared" si="50"/>
        <v>1</v>
      </c>
    </row>
    <row r="86" spans="2:44" x14ac:dyDescent="0.25">
      <c r="B86" s="19">
        <v>7</v>
      </c>
      <c r="C86" s="20">
        <f t="shared" ref="C86:D86" si="62">IF((C62+$Y$2)&gt;0,1,0)</f>
        <v>1</v>
      </c>
      <c r="D86" s="20">
        <f t="shared" si="62"/>
        <v>1</v>
      </c>
      <c r="E86" s="20">
        <f t="shared" ref="E86:V86" si="63">IF((E62+$Y$2)&gt;0,1,0)</f>
        <v>1</v>
      </c>
      <c r="F86" s="20">
        <f t="shared" si="63"/>
        <v>1</v>
      </c>
      <c r="G86" s="20">
        <f t="shared" si="63"/>
        <v>1</v>
      </c>
      <c r="H86" s="20">
        <f t="shared" si="63"/>
        <v>1</v>
      </c>
      <c r="I86" s="20">
        <f t="shared" si="63"/>
        <v>1</v>
      </c>
      <c r="J86" s="20">
        <f t="shared" si="63"/>
        <v>1</v>
      </c>
      <c r="K86" s="20">
        <f t="shared" si="63"/>
        <v>1</v>
      </c>
      <c r="L86" s="20">
        <f t="shared" si="63"/>
        <v>1</v>
      </c>
      <c r="M86" s="20">
        <f t="shared" si="63"/>
        <v>1</v>
      </c>
      <c r="N86" s="20">
        <f t="shared" si="63"/>
        <v>1</v>
      </c>
      <c r="O86" s="20">
        <f t="shared" si="63"/>
        <v>1</v>
      </c>
      <c r="P86" s="20">
        <f t="shared" si="63"/>
        <v>1</v>
      </c>
      <c r="Q86" s="20">
        <f t="shared" si="63"/>
        <v>1</v>
      </c>
      <c r="R86" s="20">
        <f t="shared" si="63"/>
        <v>1</v>
      </c>
      <c r="S86" s="20">
        <f t="shared" si="63"/>
        <v>1</v>
      </c>
      <c r="T86" s="20">
        <f t="shared" si="63"/>
        <v>1</v>
      </c>
      <c r="U86" s="20">
        <f t="shared" si="63"/>
        <v>1</v>
      </c>
      <c r="V86" s="20">
        <f t="shared" si="63"/>
        <v>1</v>
      </c>
      <c r="W86" s="19"/>
      <c r="X86" s="19"/>
      <c r="Y86" s="20">
        <f t="shared" si="53"/>
        <v>0</v>
      </c>
      <c r="Z86" s="20">
        <f t="shared" si="50"/>
        <v>0</v>
      </c>
      <c r="AA86" s="20">
        <f t="shared" si="50"/>
        <v>1</v>
      </c>
      <c r="AB86" s="20">
        <f t="shared" si="50"/>
        <v>1</v>
      </c>
      <c r="AC86" s="20">
        <f t="shared" si="50"/>
        <v>1</v>
      </c>
      <c r="AD86" s="20">
        <f t="shared" si="50"/>
        <v>1</v>
      </c>
      <c r="AE86" s="20">
        <f t="shared" si="50"/>
        <v>0</v>
      </c>
      <c r="AF86" s="20">
        <f t="shared" si="50"/>
        <v>0</v>
      </c>
      <c r="AG86" s="20">
        <f t="shared" si="50"/>
        <v>0</v>
      </c>
      <c r="AH86" s="20">
        <f t="shared" si="50"/>
        <v>0</v>
      </c>
      <c r="AI86" s="20">
        <f t="shared" si="50"/>
        <v>0</v>
      </c>
      <c r="AJ86" s="20">
        <f t="shared" si="50"/>
        <v>0</v>
      </c>
      <c r="AK86" s="20">
        <f t="shared" si="50"/>
        <v>0</v>
      </c>
      <c r="AL86" s="20">
        <f t="shared" si="50"/>
        <v>0</v>
      </c>
      <c r="AM86" s="20">
        <f t="shared" si="50"/>
        <v>0</v>
      </c>
      <c r="AN86" s="20">
        <f t="shared" si="50"/>
        <v>0</v>
      </c>
      <c r="AO86" s="20">
        <f t="shared" si="50"/>
        <v>0</v>
      </c>
      <c r="AP86" s="20">
        <f t="shared" si="50"/>
        <v>0</v>
      </c>
      <c r="AQ86" s="20">
        <f t="shared" si="50"/>
        <v>0</v>
      </c>
      <c r="AR86" s="20">
        <f t="shared" si="50"/>
        <v>0</v>
      </c>
    </row>
    <row r="87" spans="2:44" x14ac:dyDescent="0.25">
      <c r="B87" s="19">
        <v>8</v>
      </c>
      <c r="C87" s="20">
        <f t="shared" ref="C87:D87" si="64">IF((C63+$Y$2)&gt;0,1,0)</f>
        <v>1</v>
      </c>
      <c r="D87" s="20">
        <f t="shared" si="64"/>
        <v>1</v>
      </c>
      <c r="E87" s="20">
        <f t="shared" ref="E87:V87" si="65">IF((E63+$Y$2)&gt;0,1,0)</f>
        <v>1</v>
      </c>
      <c r="F87" s="20">
        <f t="shared" si="65"/>
        <v>1</v>
      </c>
      <c r="G87" s="20">
        <f t="shared" si="65"/>
        <v>1</v>
      </c>
      <c r="H87" s="20">
        <f t="shared" si="65"/>
        <v>1</v>
      </c>
      <c r="I87" s="20">
        <f t="shared" si="65"/>
        <v>1</v>
      </c>
      <c r="J87" s="20">
        <f t="shared" si="65"/>
        <v>1</v>
      </c>
      <c r="K87" s="20">
        <f t="shared" si="65"/>
        <v>1</v>
      </c>
      <c r="L87" s="20">
        <f t="shared" si="65"/>
        <v>1</v>
      </c>
      <c r="M87" s="20">
        <f t="shared" si="65"/>
        <v>1</v>
      </c>
      <c r="N87" s="20">
        <f t="shared" si="65"/>
        <v>1</v>
      </c>
      <c r="O87" s="20">
        <f t="shared" si="65"/>
        <v>1</v>
      </c>
      <c r="P87" s="20">
        <f t="shared" si="65"/>
        <v>1</v>
      </c>
      <c r="Q87" s="20">
        <f t="shared" si="65"/>
        <v>1</v>
      </c>
      <c r="R87" s="20">
        <f t="shared" si="65"/>
        <v>1</v>
      </c>
      <c r="S87" s="20">
        <f t="shared" si="65"/>
        <v>1</v>
      </c>
      <c r="T87" s="20">
        <f t="shared" si="65"/>
        <v>1</v>
      </c>
      <c r="U87" s="20">
        <f t="shared" si="65"/>
        <v>1</v>
      </c>
      <c r="V87" s="20">
        <f t="shared" si="65"/>
        <v>1</v>
      </c>
      <c r="W87" s="19"/>
      <c r="X87" s="19"/>
      <c r="Y87" s="20">
        <f t="shared" si="53"/>
        <v>0</v>
      </c>
      <c r="Z87" s="20">
        <f t="shared" si="50"/>
        <v>0</v>
      </c>
      <c r="AA87" s="20">
        <f t="shared" si="50"/>
        <v>1</v>
      </c>
      <c r="AB87" s="20">
        <f t="shared" si="50"/>
        <v>0</v>
      </c>
      <c r="AC87" s="20">
        <f t="shared" si="50"/>
        <v>1</v>
      </c>
      <c r="AD87" s="20">
        <f t="shared" si="50"/>
        <v>0</v>
      </c>
      <c r="AE87" s="20">
        <f t="shared" si="50"/>
        <v>0</v>
      </c>
      <c r="AF87" s="20">
        <f t="shared" si="50"/>
        <v>1</v>
      </c>
      <c r="AG87" s="20">
        <f t="shared" si="50"/>
        <v>0</v>
      </c>
      <c r="AH87" s="20">
        <f t="shared" si="50"/>
        <v>0</v>
      </c>
      <c r="AI87" s="20">
        <f t="shared" si="50"/>
        <v>0</v>
      </c>
      <c r="AJ87" s="20">
        <f t="shared" si="50"/>
        <v>0</v>
      </c>
      <c r="AK87" s="20">
        <f t="shared" si="50"/>
        <v>0</v>
      </c>
      <c r="AL87" s="20">
        <f t="shared" si="50"/>
        <v>0</v>
      </c>
      <c r="AM87" s="20">
        <f t="shared" si="50"/>
        <v>0</v>
      </c>
      <c r="AN87" s="20">
        <f t="shared" si="50"/>
        <v>1</v>
      </c>
      <c r="AO87" s="20">
        <f t="shared" si="50"/>
        <v>0</v>
      </c>
      <c r="AP87" s="20">
        <f t="shared" si="50"/>
        <v>0</v>
      </c>
      <c r="AQ87" s="20">
        <f t="shared" si="50"/>
        <v>0</v>
      </c>
      <c r="AR87" s="20">
        <f t="shared" si="50"/>
        <v>0</v>
      </c>
    </row>
    <row r="88" spans="2:44" x14ac:dyDescent="0.25">
      <c r="B88" s="19">
        <v>9</v>
      </c>
      <c r="C88" s="20">
        <f t="shared" ref="C88:D88" si="66">IF((C64+$Y$2)&gt;0,1,0)</f>
        <v>1</v>
      </c>
      <c r="D88" s="20">
        <f t="shared" si="66"/>
        <v>1</v>
      </c>
      <c r="E88" s="20">
        <f t="shared" ref="E88:V88" si="67">IF((E64+$Y$2)&gt;0,1,0)</f>
        <v>1</v>
      </c>
      <c r="F88" s="20">
        <f t="shared" si="67"/>
        <v>1</v>
      </c>
      <c r="G88" s="20">
        <f t="shared" si="67"/>
        <v>1</v>
      </c>
      <c r="H88" s="20">
        <f t="shared" si="67"/>
        <v>1</v>
      </c>
      <c r="I88" s="20">
        <f t="shared" si="67"/>
        <v>1</v>
      </c>
      <c r="J88" s="20">
        <f t="shared" si="67"/>
        <v>1</v>
      </c>
      <c r="K88" s="20">
        <f t="shared" si="67"/>
        <v>1</v>
      </c>
      <c r="L88" s="20">
        <f t="shared" si="67"/>
        <v>1</v>
      </c>
      <c r="M88" s="20">
        <f t="shared" si="67"/>
        <v>1</v>
      </c>
      <c r="N88" s="20">
        <f t="shared" si="67"/>
        <v>1</v>
      </c>
      <c r="O88" s="20">
        <f t="shared" si="67"/>
        <v>1</v>
      </c>
      <c r="P88" s="20">
        <f t="shared" si="67"/>
        <v>1</v>
      </c>
      <c r="Q88" s="20">
        <f t="shared" si="67"/>
        <v>1</v>
      </c>
      <c r="R88" s="20">
        <f t="shared" si="67"/>
        <v>1</v>
      </c>
      <c r="S88" s="20">
        <f t="shared" si="67"/>
        <v>1</v>
      </c>
      <c r="T88" s="20">
        <f t="shared" si="67"/>
        <v>1</v>
      </c>
      <c r="U88" s="20">
        <f t="shared" si="67"/>
        <v>1</v>
      </c>
      <c r="V88" s="20">
        <f t="shared" si="67"/>
        <v>1</v>
      </c>
      <c r="W88" s="19"/>
      <c r="X88" s="19"/>
      <c r="Y88" s="20">
        <f t="shared" si="53"/>
        <v>0</v>
      </c>
      <c r="Z88" s="20">
        <f t="shared" si="50"/>
        <v>0</v>
      </c>
      <c r="AA88" s="20">
        <f t="shared" si="50"/>
        <v>1</v>
      </c>
      <c r="AB88" s="20">
        <f t="shared" si="50"/>
        <v>0</v>
      </c>
      <c r="AC88" s="20">
        <f t="shared" si="50"/>
        <v>0</v>
      </c>
      <c r="AD88" s="20">
        <f t="shared" si="50"/>
        <v>0</v>
      </c>
      <c r="AE88" s="20">
        <f t="shared" si="50"/>
        <v>0</v>
      </c>
      <c r="AF88" s="20">
        <f t="shared" si="50"/>
        <v>1</v>
      </c>
      <c r="AG88" s="20">
        <f t="shared" si="50"/>
        <v>0</v>
      </c>
      <c r="AH88" s="20">
        <f t="shared" si="50"/>
        <v>0</v>
      </c>
      <c r="AI88" s="20">
        <f t="shared" si="50"/>
        <v>0</v>
      </c>
      <c r="AJ88" s="20">
        <f t="shared" si="50"/>
        <v>0</v>
      </c>
      <c r="AK88" s="20">
        <f t="shared" si="50"/>
        <v>0</v>
      </c>
      <c r="AL88" s="20">
        <f t="shared" si="50"/>
        <v>0</v>
      </c>
      <c r="AM88" s="20">
        <f t="shared" si="50"/>
        <v>1</v>
      </c>
      <c r="AN88" s="20">
        <f t="shared" si="50"/>
        <v>0</v>
      </c>
      <c r="AO88" s="20">
        <f t="shared" si="50"/>
        <v>0</v>
      </c>
      <c r="AP88" s="20">
        <f t="shared" si="50"/>
        <v>0</v>
      </c>
      <c r="AQ88" s="20">
        <f t="shared" si="50"/>
        <v>0</v>
      </c>
      <c r="AR88" s="20">
        <f t="shared" si="50"/>
        <v>0</v>
      </c>
    </row>
    <row r="89" spans="2:44" x14ac:dyDescent="0.25">
      <c r="B89" s="19">
        <v>10</v>
      </c>
      <c r="C89" s="20">
        <f t="shared" ref="C89:D89" si="68">IF((C65+$Y$2)&gt;0,1,0)</f>
        <v>1</v>
      </c>
      <c r="D89" s="20">
        <f t="shared" si="68"/>
        <v>1</v>
      </c>
      <c r="E89" s="20">
        <f t="shared" ref="E89:V89" si="69">IF((E65+$Y$2)&gt;0,1,0)</f>
        <v>1</v>
      </c>
      <c r="F89" s="20">
        <f t="shared" si="69"/>
        <v>1</v>
      </c>
      <c r="G89" s="20">
        <f t="shared" si="69"/>
        <v>1</v>
      </c>
      <c r="H89" s="20">
        <f t="shared" si="69"/>
        <v>1</v>
      </c>
      <c r="I89" s="20">
        <f t="shared" si="69"/>
        <v>1</v>
      </c>
      <c r="J89" s="20">
        <f t="shared" si="69"/>
        <v>1</v>
      </c>
      <c r="K89" s="20">
        <f t="shared" si="69"/>
        <v>1</v>
      </c>
      <c r="L89" s="20">
        <f t="shared" si="69"/>
        <v>1</v>
      </c>
      <c r="M89" s="20">
        <f t="shared" si="69"/>
        <v>1</v>
      </c>
      <c r="N89" s="20">
        <f t="shared" si="69"/>
        <v>1</v>
      </c>
      <c r="O89" s="20">
        <f t="shared" si="69"/>
        <v>1</v>
      </c>
      <c r="P89" s="20">
        <f t="shared" si="69"/>
        <v>1</v>
      </c>
      <c r="Q89" s="20">
        <f t="shared" si="69"/>
        <v>1</v>
      </c>
      <c r="R89" s="20">
        <f t="shared" si="69"/>
        <v>1</v>
      </c>
      <c r="S89" s="20">
        <f t="shared" si="69"/>
        <v>1</v>
      </c>
      <c r="T89" s="20">
        <f t="shared" si="69"/>
        <v>1</v>
      </c>
      <c r="U89" s="20">
        <f t="shared" si="69"/>
        <v>1</v>
      </c>
      <c r="V89" s="20">
        <f t="shared" si="69"/>
        <v>1</v>
      </c>
      <c r="W89" s="19"/>
      <c r="X89" s="19"/>
      <c r="Y89" s="20">
        <f t="shared" si="53"/>
        <v>0</v>
      </c>
      <c r="Z89" s="20">
        <f t="shared" si="50"/>
        <v>0</v>
      </c>
      <c r="AA89" s="20">
        <f t="shared" si="50"/>
        <v>1</v>
      </c>
      <c r="AB89" s="20">
        <f t="shared" si="50"/>
        <v>0</v>
      </c>
      <c r="AC89" s="20">
        <f t="shared" si="50"/>
        <v>1</v>
      </c>
      <c r="AD89" s="20">
        <f t="shared" si="50"/>
        <v>0</v>
      </c>
      <c r="AE89" s="20">
        <f t="shared" si="50"/>
        <v>0</v>
      </c>
      <c r="AF89" s="20">
        <f t="shared" si="50"/>
        <v>1</v>
      </c>
      <c r="AG89" s="20">
        <f t="shared" si="50"/>
        <v>0</v>
      </c>
      <c r="AH89" s="20">
        <f t="shared" si="50"/>
        <v>0</v>
      </c>
      <c r="AI89" s="20">
        <f t="shared" si="50"/>
        <v>0</v>
      </c>
      <c r="AJ89" s="20">
        <f t="shared" si="50"/>
        <v>0</v>
      </c>
      <c r="AK89" s="20">
        <f t="shared" si="50"/>
        <v>0</v>
      </c>
      <c r="AL89" s="20">
        <f t="shared" si="50"/>
        <v>0</v>
      </c>
      <c r="AM89" s="20">
        <f t="shared" si="50"/>
        <v>0</v>
      </c>
      <c r="AN89" s="20">
        <f t="shared" si="50"/>
        <v>1</v>
      </c>
      <c r="AO89" s="20">
        <f t="shared" si="50"/>
        <v>0</v>
      </c>
      <c r="AP89" s="20">
        <f t="shared" si="50"/>
        <v>0</v>
      </c>
      <c r="AQ89" s="20">
        <f t="shared" si="50"/>
        <v>0</v>
      </c>
      <c r="AR89" s="20">
        <f t="shared" si="50"/>
        <v>0</v>
      </c>
    </row>
    <row r="90" spans="2:44" x14ac:dyDescent="0.25">
      <c r="B90" s="19">
        <v>11</v>
      </c>
      <c r="C90" s="20">
        <f t="shared" ref="C90:D90" si="70">IF((C66+$Y$2)&gt;0,1,0)</f>
        <v>1</v>
      </c>
      <c r="D90" s="20">
        <f t="shared" si="70"/>
        <v>1</v>
      </c>
      <c r="E90" s="20">
        <f t="shared" ref="E90:V90" si="71">IF((E66+$Y$2)&gt;0,1,0)</f>
        <v>1</v>
      </c>
      <c r="F90" s="20">
        <f t="shared" si="71"/>
        <v>1</v>
      </c>
      <c r="G90" s="20">
        <f t="shared" si="71"/>
        <v>1</v>
      </c>
      <c r="H90" s="20">
        <f t="shared" si="71"/>
        <v>1</v>
      </c>
      <c r="I90" s="20">
        <f t="shared" si="71"/>
        <v>1</v>
      </c>
      <c r="J90" s="20">
        <f t="shared" si="71"/>
        <v>1</v>
      </c>
      <c r="K90" s="20">
        <f t="shared" si="71"/>
        <v>1</v>
      </c>
      <c r="L90" s="20">
        <f t="shared" si="71"/>
        <v>1</v>
      </c>
      <c r="M90" s="20">
        <f t="shared" si="71"/>
        <v>1</v>
      </c>
      <c r="N90" s="20">
        <f t="shared" si="71"/>
        <v>1</v>
      </c>
      <c r="O90" s="20">
        <f t="shared" si="71"/>
        <v>1</v>
      </c>
      <c r="P90" s="20">
        <f t="shared" si="71"/>
        <v>1</v>
      </c>
      <c r="Q90" s="20">
        <f t="shared" si="71"/>
        <v>1</v>
      </c>
      <c r="R90" s="20">
        <f t="shared" si="71"/>
        <v>1</v>
      </c>
      <c r="S90" s="20">
        <f t="shared" si="71"/>
        <v>1</v>
      </c>
      <c r="T90" s="20">
        <f t="shared" si="71"/>
        <v>1</v>
      </c>
      <c r="U90" s="20">
        <f t="shared" si="71"/>
        <v>1</v>
      </c>
      <c r="V90" s="20">
        <f t="shared" si="71"/>
        <v>1</v>
      </c>
      <c r="W90" s="19"/>
      <c r="X90" s="19"/>
      <c r="Y90" s="20">
        <f t="shared" si="53"/>
        <v>0</v>
      </c>
      <c r="Z90" s="20">
        <f t="shared" si="50"/>
        <v>0</v>
      </c>
      <c r="AA90" s="20">
        <f t="shared" si="50"/>
        <v>0</v>
      </c>
      <c r="AB90" s="20">
        <f t="shared" si="50"/>
        <v>1</v>
      </c>
      <c r="AC90" s="20">
        <f t="shared" si="50"/>
        <v>1</v>
      </c>
      <c r="AD90" s="20">
        <f t="shared" si="50"/>
        <v>1</v>
      </c>
      <c r="AE90" s="20">
        <f t="shared" si="50"/>
        <v>0</v>
      </c>
      <c r="AF90" s="20">
        <f t="shared" si="50"/>
        <v>0</v>
      </c>
      <c r="AG90" s="20">
        <f t="shared" si="50"/>
        <v>0</v>
      </c>
      <c r="AH90" s="20">
        <f t="shared" si="50"/>
        <v>0</v>
      </c>
      <c r="AI90" s="20">
        <f t="shared" si="50"/>
        <v>0</v>
      </c>
      <c r="AJ90" s="20">
        <f t="shared" si="50"/>
        <v>0</v>
      </c>
      <c r="AK90" s="20">
        <f t="shared" si="50"/>
        <v>0</v>
      </c>
      <c r="AL90" s="20">
        <f t="shared" si="50"/>
        <v>0</v>
      </c>
      <c r="AM90" s="20">
        <f t="shared" si="50"/>
        <v>0</v>
      </c>
      <c r="AN90" s="20">
        <f t="shared" si="50"/>
        <v>0</v>
      </c>
      <c r="AO90" s="20">
        <f t="shared" si="50"/>
        <v>0</v>
      </c>
      <c r="AP90" s="20">
        <f t="shared" si="50"/>
        <v>0</v>
      </c>
      <c r="AQ90" s="20">
        <f t="shared" si="50"/>
        <v>0</v>
      </c>
      <c r="AR90" s="20">
        <f t="shared" si="50"/>
        <v>1</v>
      </c>
    </row>
    <row r="91" spans="2:44" x14ac:dyDescent="0.25">
      <c r="B91" s="19">
        <v>12</v>
      </c>
      <c r="C91" s="20">
        <f t="shared" ref="C91:D91" si="72">IF((C67+$Y$2)&gt;0,1,0)</f>
        <v>1</v>
      </c>
      <c r="D91" s="20">
        <f t="shared" si="72"/>
        <v>1</v>
      </c>
      <c r="E91" s="20">
        <f t="shared" ref="E91:V91" si="73">IF((E67+$Y$2)&gt;0,1,0)</f>
        <v>1</v>
      </c>
      <c r="F91" s="20">
        <f t="shared" si="73"/>
        <v>1</v>
      </c>
      <c r="G91" s="20">
        <f t="shared" si="73"/>
        <v>1</v>
      </c>
      <c r="H91" s="20">
        <f t="shared" si="73"/>
        <v>1</v>
      </c>
      <c r="I91" s="20">
        <f t="shared" si="73"/>
        <v>1</v>
      </c>
      <c r="J91" s="20">
        <f t="shared" si="73"/>
        <v>1</v>
      </c>
      <c r="K91" s="20">
        <f t="shared" si="73"/>
        <v>1</v>
      </c>
      <c r="L91" s="20">
        <f t="shared" si="73"/>
        <v>1</v>
      </c>
      <c r="M91" s="20">
        <f t="shared" si="73"/>
        <v>1</v>
      </c>
      <c r="N91" s="20">
        <f t="shared" si="73"/>
        <v>1</v>
      </c>
      <c r="O91" s="20">
        <f t="shared" si="73"/>
        <v>1</v>
      </c>
      <c r="P91" s="20">
        <f t="shared" si="73"/>
        <v>1</v>
      </c>
      <c r="Q91" s="20">
        <f t="shared" si="73"/>
        <v>1</v>
      </c>
      <c r="R91" s="20">
        <f t="shared" si="73"/>
        <v>1</v>
      </c>
      <c r="S91" s="20">
        <f t="shared" si="73"/>
        <v>1</v>
      </c>
      <c r="T91" s="20">
        <f t="shared" si="73"/>
        <v>1</v>
      </c>
      <c r="U91" s="20">
        <f t="shared" si="73"/>
        <v>1</v>
      </c>
      <c r="V91" s="20">
        <f t="shared" si="73"/>
        <v>1</v>
      </c>
      <c r="W91" s="19"/>
      <c r="X91" s="19"/>
      <c r="Y91" s="20">
        <f t="shared" si="53"/>
        <v>0</v>
      </c>
      <c r="Z91" s="20">
        <f t="shared" si="50"/>
        <v>0</v>
      </c>
      <c r="AA91" s="20">
        <f t="shared" si="50"/>
        <v>0</v>
      </c>
      <c r="AB91" s="20">
        <f t="shared" si="50"/>
        <v>1</v>
      </c>
      <c r="AC91" s="20">
        <f t="shared" si="50"/>
        <v>0</v>
      </c>
      <c r="AD91" s="20">
        <f t="shared" si="50"/>
        <v>1</v>
      </c>
      <c r="AE91" s="20">
        <f t="shared" si="50"/>
        <v>0</v>
      </c>
      <c r="AF91" s="20">
        <f t="shared" si="50"/>
        <v>0</v>
      </c>
      <c r="AG91" s="20">
        <f t="shared" si="50"/>
        <v>1</v>
      </c>
      <c r="AH91" s="20">
        <f t="shared" si="50"/>
        <v>0</v>
      </c>
      <c r="AI91" s="20">
        <f t="shared" si="50"/>
        <v>1</v>
      </c>
      <c r="AJ91" s="20">
        <f t="shared" si="50"/>
        <v>0</v>
      </c>
      <c r="AK91" s="20">
        <f t="shared" si="50"/>
        <v>0</v>
      </c>
      <c r="AL91" s="20">
        <f t="shared" si="50"/>
        <v>0</v>
      </c>
      <c r="AM91" s="20">
        <f t="shared" si="50"/>
        <v>0</v>
      </c>
      <c r="AN91" s="20">
        <f t="shared" si="50"/>
        <v>0</v>
      </c>
      <c r="AO91" s="20">
        <f t="shared" si="50"/>
        <v>0</v>
      </c>
      <c r="AP91" s="20">
        <f t="shared" si="50"/>
        <v>0</v>
      </c>
      <c r="AQ91" s="20">
        <f t="shared" si="50"/>
        <v>0</v>
      </c>
      <c r="AR91" s="20">
        <f t="shared" si="50"/>
        <v>0</v>
      </c>
    </row>
    <row r="92" spans="2:44" x14ac:dyDescent="0.25">
      <c r="B92" s="19">
        <v>13</v>
      </c>
      <c r="C92" s="20">
        <f t="shared" ref="C92:D92" si="74">IF((C68+$Y$2)&gt;0,1,0)</f>
        <v>1</v>
      </c>
      <c r="D92" s="20">
        <f t="shared" si="74"/>
        <v>1</v>
      </c>
      <c r="E92" s="20">
        <f t="shared" ref="E92:V92" si="75">IF((E68+$Y$2)&gt;0,1,0)</f>
        <v>1</v>
      </c>
      <c r="F92" s="20">
        <f t="shared" si="75"/>
        <v>1</v>
      </c>
      <c r="G92" s="20">
        <f t="shared" si="75"/>
        <v>1</v>
      </c>
      <c r="H92" s="20">
        <f t="shared" si="75"/>
        <v>1</v>
      </c>
      <c r="I92" s="20">
        <f t="shared" si="75"/>
        <v>1</v>
      </c>
      <c r="J92" s="20">
        <f t="shared" si="75"/>
        <v>1</v>
      </c>
      <c r="K92" s="20">
        <f t="shared" si="75"/>
        <v>1</v>
      </c>
      <c r="L92" s="20">
        <f t="shared" si="75"/>
        <v>1</v>
      </c>
      <c r="M92" s="20">
        <f t="shared" si="75"/>
        <v>1</v>
      </c>
      <c r="N92" s="20">
        <f t="shared" si="75"/>
        <v>1</v>
      </c>
      <c r="O92" s="20">
        <f t="shared" si="75"/>
        <v>1</v>
      </c>
      <c r="P92" s="20">
        <f t="shared" si="75"/>
        <v>1</v>
      </c>
      <c r="Q92" s="20">
        <f t="shared" si="75"/>
        <v>1</v>
      </c>
      <c r="R92" s="20">
        <f t="shared" si="75"/>
        <v>1</v>
      </c>
      <c r="S92" s="20">
        <f t="shared" si="75"/>
        <v>1</v>
      </c>
      <c r="T92" s="20">
        <f t="shared" si="75"/>
        <v>1</v>
      </c>
      <c r="U92" s="20">
        <f t="shared" si="75"/>
        <v>1</v>
      </c>
      <c r="V92" s="20">
        <f t="shared" si="75"/>
        <v>1</v>
      </c>
      <c r="W92" s="19"/>
      <c r="X92" s="19"/>
      <c r="Y92" s="20">
        <f t="shared" si="53"/>
        <v>0</v>
      </c>
      <c r="Z92" s="20">
        <f t="shared" si="50"/>
        <v>0</v>
      </c>
      <c r="AA92" s="20">
        <f t="shared" si="50"/>
        <v>0</v>
      </c>
      <c r="AB92" s="20">
        <f t="shared" si="50"/>
        <v>0</v>
      </c>
      <c r="AC92" s="20">
        <f t="shared" si="50"/>
        <v>0</v>
      </c>
      <c r="AD92" s="20">
        <f t="shared" si="50"/>
        <v>1</v>
      </c>
      <c r="AE92" s="20">
        <f t="shared" si="50"/>
        <v>0</v>
      </c>
      <c r="AF92" s="20">
        <f t="shared" si="50"/>
        <v>0</v>
      </c>
      <c r="AG92" s="20">
        <f t="shared" si="50"/>
        <v>1</v>
      </c>
      <c r="AH92" s="20">
        <f t="shared" si="50"/>
        <v>0</v>
      </c>
      <c r="AI92" s="20">
        <f t="shared" si="50"/>
        <v>0</v>
      </c>
      <c r="AJ92" s="20">
        <f t="shared" si="50"/>
        <v>0</v>
      </c>
      <c r="AK92" s="20">
        <f t="shared" si="50"/>
        <v>1</v>
      </c>
      <c r="AL92" s="20">
        <f t="shared" si="50"/>
        <v>0</v>
      </c>
      <c r="AM92" s="20">
        <f t="shared" si="50"/>
        <v>0</v>
      </c>
      <c r="AN92" s="20">
        <f t="shared" si="50"/>
        <v>0</v>
      </c>
      <c r="AO92" s="20">
        <f t="shared" si="50"/>
        <v>0</v>
      </c>
      <c r="AP92" s="20">
        <f t="shared" si="50"/>
        <v>0</v>
      </c>
      <c r="AQ92" s="20">
        <f t="shared" si="50"/>
        <v>0</v>
      </c>
      <c r="AR92" s="20">
        <f t="shared" si="50"/>
        <v>0</v>
      </c>
    </row>
    <row r="93" spans="2:44" x14ac:dyDescent="0.25">
      <c r="B93" s="19">
        <v>14</v>
      </c>
      <c r="C93" s="20">
        <f t="shared" ref="C93:D93" si="76">IF((C69+$Y$2)&gt;0,1,0)</f>
        <v>1</v>
      </c>
      <c r="D93" s="20">
        <f t="shared" si="76"/>
        <v>1</v>
      </c>
      <c r="E93" s="20">
        <f t="shared" ref="E93:V93" si="77">IF((E69+$Y$2)&gt;0,1,0)</f>
        <v>1</v>
      </c>
      <c r="F93" s="20">
        <f t="shared" si="77"/>
        <v>1</v>
      </c>
      <c r="G93" s="20">
        <f t="shared" si="77"/>
        <v>1</v>
      </c>
      <c r="H93" s="20">
        <f t="shared" si="77"/>
        <v>1</v>
      </c>
      <c r="I93" s="20">
        <f t="shared" si="77"/>
        <v>1</v>
      </c>
      <c r="J93" s="20">
        <f t="shared" si="77"/>
        <v>1</v>
      </c>
      <c r="K93" s="20">
        <f t="shared" si="77"/>
        <v>1</v>
      </c>
      <c r="L93" s="20">
        <f t="shared" si="77"/>
        <v>1</v>
      </c>
      <c r="M93" s="20">
        <f t="shared" si="77"/>
        <v>1</v>
      </c>
      <c r="N93" s="20">
        <f t="shared" si="77"/>
        <v>1</v>
      </c>
      <c r="O93" s="20">
        <f t="shared" si="77"/>
        <v>1</v>
      </c>
      <c r="P93" s="20">
        <f t="shared" si="77"/>
        <v>1</v>
      </c>
      <c r="Q93" s="20">
        <f t="shared" si="77"/>
        <v>1</v>
      </c>
      <c r="R93" s="20">
        <f t="shared" si="77"/>
        <v>1</v>
      </c>
      <c r="S93" s="20">
        <f t="shared" si="77"/>
        <v>1</v>
      </c>
      <c r="T93" s="20">
        <f t="shared" si="77"/>
        <v>1</v>
      </c>
      <c r="U93" s="20">
        <f t="shared" si="77"/>
        <v>1</v>
      </c>
      <c r="V93" s="20">
        <f t="shared" si="77"/>
        <v>1</v>
      </c>
      <c r="W93" s="19"/>
      <c r="X93" s="19"/>
      <c r="Y93" s="20">
        <f t="shared" si="53"/>
        <v>0</v>
      </c>
      <c r="Z93" s="20">
        <f t="shared" si="50"/>
        <v>0</v>
      </c>
      <c r="AA93" s="20">
        <f t="shared" si="50"/>
        <v>0</v>
      </c>
      <c r="AB93" s="20">
        <f t="shared" si="50"/>
        <v>0</v>
      </c>
      <c r="AC93" s="20">
        <f t="shared" si="50"/>
        <v>0</v>
      </c>
      <c r="AD93" s="20">
        <f t="shared" si="50"/>
        <v>0</v>
      </c>
      <c r="AE93" s="20">
        <f t="shared" si="50"/>
        <v>0</v>
      </c>
      <c r="AF93" s="20">
        <f t="shared" si="50"/>
        <v>0</v>
      </c>
      <c r="AG93" s="20">
        <f t="shared" si="50"/>
        <v>1</v>
      </c>
      <c r="AH93" s="20">
        <f t="shared" ref="AH93:AH99" si="78">IF(ABS(L69-$X$75)&gt;=($X$77*(1-$Y$7)),L93,L45)</f>
        <v>1</v>
      </c>
      <c r="AI93" s="20">
        <f t="shared" ref="AI93:AI99" si="79">IF(ABS(M69-$X$75)&gt;=($X$77*(1-$Y$7)),M93,M45)</f>
        <v>0</v>
      </c>
      <c r="AJ93" s="20">
        <f t="shared" ref="AJ93:AJ99" si="80">IF(ABS(N69-$X$75)&gt;=($X$77*(1-$Y$7)),N93,N45)</f>
        <v>0</v>
      </c>
      <c r="AK93" s="20">
        <f t="shared" ref="AK93:AK99" si="81">IF(ABS(O69-$X$75)&gt;=($X$77*(1-$Y$7)),O93,O45)</f>
        <v>0</v>
      </c>
      <c r="AL93" s="20">
        <f t="shared" ref="AL93:AL99" si="82">IF(ABS(P69-$X$75)&gt;=($X$77*(1-$Y$7)),P93,P45)</f>
        <v>0</v>
      </c>
      <c r="AM93" s="20">
        <f t="shared" ref="AM93:AM99" si="83">IF(ABS(Q69-$X$75)&gt;=($X$77*(1-$Y$7)),Q93,Q45)</f>
        <v>0</v>
      </c>
      <c r="AN93" s="20">
        <f t="shared" ref="AN93:AN99" si="84">IF(ABS(R69-$X$75)&gt;=($X$77*(1-$Y$7)),R93,R45)</f>
        <v>0</v>
      </c>
      <c r="AO93" s="20">
        <f t="shared" ref="AO93:AO99" si="85">IF(ABS(S69-$X$75)&gt;=($X$77*(1-$Y$7)),S93,S45)</f>
        <v>0</v>
      </c>
      <c r="AP93" s="20">
        <f t="shared" ref="AP93:AP99" si="86">IF(ABS(T69-$X$75)&gt;=($X$77*(1-$Y$7)),T93,T45)</f>
        <v>0</v>
      </c>
      <c r="AQ93" s="20">
        <f t="shared" ref="AQ93:AQ99" si="87">IF(ABS(U69-$X$75)&gt;=($X$77*(1-$Y$7)),U93,U45)</f>
        <v>0</v>
      </c>
      <c r="AR93" s="20">
        <f t="shared" ref="AR93:AR99" si="88">IF(ABS(V69-$X$75)&gt;=($X$77*(1-$Y$7)),V93,V45)</f>
        <v>0</v>
      </c>
    </row>
    <row r="94" spans="2:44" x14ac:dyDescent="0.25">
      <c r="B94" s="19">
        <v>15</v>
      </c>
      <c r="C94" s="20">
        <f t="shared" ref="C94:D94" si="89">IF((C70+$Y$2)&gt;0,1,0)</f>
        <v>1</v>
      </c>
      <c r="D94" s="20">
        <f t="shared" si="89"/>
        <v>1</v>
      </c>
      <c r="E94" s="20">
        <f t="shared" ref="E94:V94" si="90">IF((E70+$Y$2)&gt;0,1,0)</f>
        <v>1</v>
      </c>
      <c r="F94" s="20">
        <f t="shared" si="90"/>
        <v>1</v>
      </c>
      <c r="G94" s="20">
        <f t="shared" si="90"/>
        <v>1</v>
      </c>
      <c r="H94" s="20">
        <f t="shared" si="90"/>
        <v>1</v>
      </c>
      <c r="I94" s="20">
        <f t="shared" si="90"/>
        <v>1</v>
      </c>
      <c r="J94" s="20">
        <f t="shared" si="90"/>
        <v>1</v>
      </c>
      <c r="K94" s="20">
        <f t="shared" si="90"/>
        <v>1</v>
      </c>
      <c r="L94" s="20">
        <f t="shared" si="90"/>
        <v>1</v>
      </c>
      <c r="M94" s="20">
        <f t="shared" si="90"/>
        <v>1</v>
      </c>
      <c r="N94" s="20">
        <f t="shared" si="90"/>
        <v>1</v>
      </c>
      <c r="O94" s="20">
        <f t="shared" si="90"/>
        <v>1</v>
      </c>
      <c r="P94" s="20">
        <f t="shared" si="90"/>
        <v>1</v>
      </c>
      <c r="Q94" s="20">
        <f t="shared" si="90"/>
        <v>1</v>
      </c>
      <c r="R94" s="20">
        <f t="shared" si="90"/>
        <v>1</v>
      </c>
      <c r="S94" s="20">
        <f t="shared" si="90"/>
        <v>1</v>
      </c>
      <c r="T94" s="20">
        <f t="shared" si="90"/>
        <v>1</v>
      </c>
      <c r="U94" s="20">
        <f t="shared" si="90"/>
        <v>1</v>
      </c>
      <c r="V94" s="20">
        <f t="shared" si="90"/>
        <v>1</v>
      </c>
      <c r="W94" s="19"/>
      <c r="X94" s="19"/>
      <c r="Y94" s="20">
        <f t="shared" si="53"/>
        <v>0</v>
      </c>
      <c r="Z94" s="20">
        <f t="shared" ref="Z94:Z99" si="91">IF(ABS(D70-$X$75)&gt;=($X$77*(1-$Y$7)),D94,D46)</f>
        <v>0</v>
      </c>
      <c r="AA94" s="20">
        <f t="shared" ref="AA94:AA99" si="92">IF(ABS(E70-$X$75)&gt;=($X$77*(1-$Y$7)),E94,E46)</f>
        <v>0</v>
      </c>
      <c r="AB94" s="20">
        <f t="shared" ref="AB94:AB99" si="93">IF(ABS(F70-$X$75)&gt;=($X$77*(1-$Y$7)),F94,F46)</f>
        <v>0</v>
      </c>
      <c r="AC94" s="20">
        <f t="shared" ref="AC94:AC99" si="94">IF(ABS(G70-$X$75)&gt;=($X$77*(1-$Y$7)),G94,G46)</f>
        <v>0</v>
      </c>
      <c r="AD94" s="20">
        <f t="shared" ref="AD94:AD99" si="95">IF(ABS(H70-$X$75)&gt;=($X$77*(1-$Y$7)),H94,H46)</f>
        <v>0</v>
      </c>
      <c r="AE94" s="20">
        <f t="shared" ref="AE94:AE99" si="96">IF(ABS(I70-$X$75)&gt;=($X$77*(1-$Y$7)),I94,I46)</f>
        <v>0</v>
      </c>
      <c r="AF94" s="20">
        <f t="shared" ref="AF94:AF99" si="97">IF(ABS(J70-$X$75)&gt;=($X$77*(1-$Y$7)),J94,J46)</f>
        <v>1</v>
      </c>
      <c r="AG94" s="20">
        <f t="shared" ref="AG94:AG99" si="98">IF(ABS(K70-$X$75)&gt;=($X$77*(1-$Y$7)),K94,K46)</f>
        <v>1</v>
      </c>
      <c r="AH94" s="20">
        <f t="shared" si="78"/>
        <v>0</v>
      </c>
      <c r="AI94" s="20">
        <f t="shared" si="79"/>
        <v>0</v>
      </c>
      <c r="AJ94" s="20">
        <f t="shared" si="80"/>
        <v>0</v>
      </c>
      <c r="AK94" s="20">
        <f t="shared" si="81"/>
        <v>0</v>
      </c>
      <c r="AL94" s="20">
        <f t="shared" si="82"/>
        <v>0</v>
      </c>
      <c r="AM94" s="20">
        <f t="shared" si="83"/>
        <v>0</v>
      </c>
      <c r="AN94" s="20">
        <f t="shared" si="84"/>
        <v>1</v>
      </c>
      <c r="AO94" s="20">
        <f t="shared" si="85"/>
        <v>0</v>
      </c>
      <c r="AP94" s="20">
        <f t="shared" si="86"/>
        <v>0</v>
      </c>
      <c r="AQ94" s="20">
        <f t="shared" si="87"/>
        <v>0</v>
      </c>
      <c r="AR94" s="20">
        <f t="shared" si="88"/>
        <v>0</v>
      </c>
    </row>
    <row r="95" spans="2:44" x14ac:dyDescent="0.25">
      <c r="B95" s="19">
        <v>16</v>
      </c>
      <c r="C95" s="20">
        <f t="shared" ref="C95:D95" si="99">IF((C71+$Y$2)&gt;0,1,0)</f>
        <v>1</v>
      </c>
      <c r="D95" s="20">
        <f t="shared" si="99"/>
        <v>1</v>
      </c>
      <c r="E95" s="20">
        <f t="shared" ref="E95:V95" si="100">IF((E71+$Y$2)&gt;0,1,0)</f>
        <v>1</v>
      </c>
      <c r="F95" s="20">
        <f t="shared" si="100"/>
        <v>1</v>
      </c>
      <c r="G95" s="20">
        <f t="shared" si="100"/>
        <v>1</v>
      </c>
      <c r="H95" s="20">
        <f t="shared" si="100"/>
        <v>1</v>
      </c>
      <c r="I95" s="20">
        <f t="shared" si="100"/>
        <v>1</v>
      </c>
      <c r="J95" s="20">
        <f t="shared" si="100"/>
        <v>1</v>
      </c>
      <c r="K95" s="20">
        <f t="shared" si="100"/>
        <v>1</v>
      </c>
      <c r="L95" s="20">
        <f t="shared" si="100"/>
        <v>1</v>
      </c>
      <c r="M95" s="20">
        <f t="shared" si="100"/>
        <v>1</v>
      </c>
      <c r="N95" s="20">
        <f t="shared" si="100"/>
        <v>1</v>
      </c>
      <c r="O95" s="20">
        <f t="shared" si="100"/>
        <v>1</v>
      </c>
      <c r="P95" s="20">
        <f t="shared" si="100"/>
        <v>1</v>
      </c>
      <c r="Q95" s="20">
        <f t="shared" si="100"/>
        <v>1</v>
      </c>
      <c r="R95" s="20">
        <f t="shared" si="100"/>
        <v>1</v>
      </c>
      <c r="S95" s="20">
        <f t="shared" si="100"/>
        <v>1</v>
      </c>
      <c r="T95" s="20">
        <f t="shared" si="100"/>
        <v>1</v>
      </c>
      <c r="U95" s="20">
        <f t="shared" si="100"/>
        <v>1</v>
      </c>
      <c r="V95" s="20">
        <f t="shared" si="100"/>
        <v>1</v>
      </c>
      <c r="W95" s="19"/>
      <c r="X95" s="19"/>
      <c r="Y95" s="20">
        <f t="shared" si="53"/>
        <v>0</v>
      </c>
      <c r="Z95" s="20">
        <f t="shared" si="91"/>
        <v>0</v>
      </c>
      <c r="AA95" s="20">
        <f t="shared" si="92"/>
        <v>0</v>
      </c>
      <c r="AB95" s="20">
        <f t="shared" si="93"/>
        <v>0</v>
      </c>
      <c r="AC95" s="20">
        <f t="shared" si="94"/>
        <v>1</v>
      </c>
      <c r="AD95" s="20">
        <f t="shared" si="95"/>
        <v>1</v>
      </c>
      <c r="AE95" s="20">
        <f t="shared" si="96"/>
        <v>0</v>
      </c>
      <c r="AF95" s="20">
        <f t="shared" si="97"/>
        <v>0</v>
      </c>
      <c r="AG95" s="20">
        <f t="shared" si="98"/>
        <v>0</v>
      </c>
      <c r="AH95" s="20">
        <f t="shared" si="78"/>
        <v>0</v>
      </c>
      <c r="AI95" s="20">
        <f t="shared" si="79"/>
        <v>0</v>
      </c>
      <c r="AJ95" s="20">
        <f t="shared" si="80"/>
        <v>0</v>
      </c>
      <c r="AK95" s="20">
        <f t="shared" si="81"/>
        <v>0</v>
      </c>
      <c r="AL95" s="20">
        <f t="shared" si="82"/>
        <v>0</v>
      </c>
      <c r="AM95" s="20">
        <f t="shared" si="83"/>
        <v>0</v>
      </c>
      <c r="AN95" s="20">
        <f t="shared" si="84"/>
        <v>1</v>
      </c>
      <c r="AO95" s="20">
        <f t="shared" si="85"/>
        <v>0</v>
      </c>
      <c r="AP95" s="20">
        <f t="shared" si="86"/>
        <v>0</v>
      </c>
      <c r="AQ95" s="20">
        <f t="shared" si="87"/>
        <v>0</v>
      </c>
      <c r="AR95" s="20">
        <f t="shared" si="88"/>
        <v>0</v>
      </c>
    </row>
    <row r="96" spans="2:44" x14ac:dyDescent="0.25">
      <c r="B96" s="19">
        <v>17</v>
      </c>
      <c r="C96" s="20">
        <f t="shared" ref="C96:D96" si="101">IF((C72+$Y$2)&gt;0,1,0)</f>
        <v>1</v>
      </c>
      <c r="D96" s="20">
        <f t="shared" si="101"/>
        <v>1</v>
      </c>
      <c r="E96" s="20">
        <f t="shared" ref="E96:V96" si="102">IF((E72+$Y$2)&gt;0,1,0)</f>
        <v>1</v>
      </c>
      <c r="F96" s="20">
        <f t="shared" si="102"/>
        <v>1</v>
      </c>
      <c r="G96" s="20">
        <f t="shared" si="102"/>
        <v>1</v>
      </c>
      <c r="H96" s="20">
        <f t="shared" si="102"/>
        <v>1</v>
      </c>
      <c r="I96" s="20">
        <f t="shared" si="102"/>
        <v>1</v>
      </c>
      <c r="J96" s="20">
        <f t="shared" si="102"/>
        <v>1</v>
      </c>
      <c r="K96" s="20">
        <f t="shared" si="102"/>
        <v>1</v>
      </c>
      <c r="L96" s="20">
        <f t="shared" si="102"/>
        <v>1</v>
      </c>
      <c r="M96" s="20">
        <f t="shared" si="102"/>
        <v>1</v>
      </c>
      <c r="N96" s="20">
        <f t="shared" si="102"/>
        <v>1</v>
      </c>
      <c r="O96" s="20">
        <f t="shared" si="102"/>
        <v>1</v>
      </c>
      <c r="P96" s="20">
        <f t="shared" si="102"/>
        <v>1</v>
      </c>
      <c r="Q96" s="20">
        <f t="shared" si="102"/>
        <v>1</v>
      </c>
      <c r="R96" s="20">
        <f t="shared" si="102"/>
        <v>1</v>
      </c>
      <c r="S96" s="20">
        <f t="shared" si="102"/>
        <v>1</v>
      </c>
      <c r="T96" s="20">
        <f t="shared" si="102"/>
        <v>1</v>
      </c>
      <c r="U96" s="20">
        <f t="shared" si="102"/>
        <v>1</v>
      </c>
      <c r="V96" s="20">
        <f t="shared" si="102"/>
        <v>1</v>
      </c>
      <c r="W96" s="19"/>
      <c r="X96" s="19"/>
      <c r="Y96" s="20">
        <f t="shared" si="53"/>
        <v>0</v>
      </c>
      <c r="Z96" s="20">
        <f t="shared" si="91"/>
        <v>0</v>
      </c>
      <c r="AA96" s="20">
        <f t="shared" si="92"/>
        <v>1</v>
      </c>
      <c r="AB96" s="20">
        <f t="shared" si="93"/>
        <v>0</v>
      </c>
      <c r="AC96" s="20">
        <f t="shared" si="94"/>
        <v>1</v>
      </c>
      <c r="AD96" s="20">
        <f t="shared" si="95"/>
        <v>1</v>
      </c>
      <c r="AE96" s="20">
        <f t="shared" si="96"/>
        <v>0</v>
      </c>
      <c r="AF96" s="20">
        <f t="shared" si="97"/>
        <v>0</v>
      </c>
      <c r="AG96" s="20">
        <f t="shared" si="98"/>
        <v>0</v>
      </c>
      <c r="AH96" s="20">
        <f t="shared" si="78"/>
        <v>0</v>
      </c>
      <c r="AI96" s="20">
        <f t="shared" si="79"/>
        <v>0</v>
      </c>
      <c r="AJ96" s="20">
        <f t="shared" si="80"/>
        <v>0</v>
      </c>
      <c r="AK96" s="20">
        <f t="shared" si="81"/>
        <v>0</v>
      </c>
      <c r="AL96" s="20">
        <f t="shared" si="82"/>
        <v>0</v>
      </c>
      <c r="AM96" s="20">
        <f t="shared" si="83"/>
        <v>0</v>
      </c>
      <c r="AN96" s="20">
        <f t="shared" si="84"/>
        <v>0</v>
      </c>
      <c r="AO96" s="20">
        <f t="shared" si="85"/>
        <v>0</v>
      </c>
      <c r="AP96" s="20">
        <f t="shared" si="86"/>
        <v>0</v>
      </c>
      <c r="AQ96" s="20">
        <f t="shared" si="87"/>
        <v>0</v>
      </c>
      <c r="AR96" s="20">
        <f t="shared" si="88"/>
        <v>0</v>
      </c>
    </row>
    <row r="97" spans="2:44" x14ac:dyDescent="0.25">
      <c r="B97" s="19">
        <v>18</v>
      </c>
      <c r="C97" s="20">
        <f t="shared" ref="C97:D97" si="103">IF((C73+$Y$2)&gt;0,1,0)</f>
        <v>1</v>
      </c>
      <c r="D97" s="20">
        <f t="shared" si="103"/>
        <v>1</v>
      </c>
      <c r="E97" s="20">
        <f t="shared" ref="E97:V97" si="104">IF((E73+$Y$2)&gt;0,1,0)</f>
        <v>1</v>
      </c>
      <c r="F97" s="20">
        <f t="shared" si="104"/>
        <v>1</v>
      </c>
      <c r="G97" s="20">
        <f t="shared" si="104"/>
        <v>1</v>
      </c>
      <c r="H97" s="20">
        <f t="shared" si="104"/>
        <v>1</v>
      </c>
      <c r="I97" s="20">
        <f t="shared" si="104"/>
        <v>1</v>
      </c>
      <c r="J97" s="20">
        <f t="shared" si="104"/>
        <v>1</v>
      </c>
      <c r="K97" s="20">
        <f t="shared" si="104"/>
        <v>1</v>
      </c>
      <c r="L97" s="20">
        <f t="shared" si="104"/>
        <v>1</v>
      </c>
      <c r="M97" s="20">
        <f t="shared" si="104"/>
        <v>1</v>
      </c>
      <c r="N97" s="20">
        <f t="shared" si="104"/>
        <v>1</v>
      </c>
      <c r="O97" s="20">
        <f t="shared" si="104"/>
        <v>1</v>
      </c>
      <c r="P97" s="20">
        <f t="shared" si="104"/>
        <v>1</v>
      </c>
      <c r="Q97" s="20">
        <f t="shared" si="104"/>
        <v>1</v>
      </c>
      <c r="R97" s="20">
        <f t="shared" si="104"/>
        <v>1</v>
      </c>
      <c r="S97" s="20">
        <f t="shared" si="104"/>
        <v>1</v>
      </c>
      <c r="T97" s="20">
        <f t="shared" si="104"/>
        <v>1</v>
      </c>
      <c r="U97" s="20">
        <f t="shared" si="104"/>
        <v>1</v>
      </c>
      <c r="V97" s="20">
        <f t="shared" si="104"/>
        <v>1</v>
      </c>
      <c r="W97" s="19"/>
      <c r="X97" s="19"/>
      <c r="Y97" s="20">
        <f t="shared" si="53"/>
        <v>0</v>
      </c>
      <c r="Z97" s="20">
        <f t="shared" si="91"/>
        <v>0</v>
      </c>
      <c r="AA97" s="20">
        <f t="shared" si="92"/>
        <v>0</v>
      </c>
      <c r="AB97" s="20">
        <f t="shared" si="93"/>
        <v>0</v>
      </c>
      <c r="AC97" s="20">
        <f t="shared" si="94"/>
        <v>0</v>
      </c>
      <c r="AD97" s="20">
        <f t="shared" si="95"/>
        <v>1</v>
      </c>
      <c r="AE97" s="20">
        <f t="shared" si="96"/>
        <v>0</v>
      </c>
      <c r="AF97" s="20">
        <f t="shared" si="97"/>
        <v>0</v>
      </c>
      <c r="AG97" s="20">
        <f t="shared" si="98"/>
        <v>1</v>
      </c>
      <c r="AH97" s="20">
        <f t="shared" si="78"/>
        <v>0</v>
      </c>
      <c r="AI97" s="20">
        <f t="shared" si="79"/>
        <v>1</v>
      </c>
      <c r="AJ97" s="20">
        <f t="shared" si="80"/>
        <v>0</v>
      </c>
      <c r="AK97" s="20">
        <f t="shared" si="81"/>
        <v>0</v>
      </c>
      <c r="AL97" s="20">
        <f t="shared" si="82"/>
        <v>0</v>
      </c>
      <c r="AM97" s="20">
        <f t="shared" si="83"/>
        <v>0</v>
      </c>
      <c r="AN97" s="20">
        <f t="shared" si="84"/>
        <v>0</v>
      </c>
      <c r="AO97" s="20">
        <f t="shared" si="85"/>
        <v>0</v>
      </c>
      <c r="AP97" s="20">
        <f t="shared" si="86"/>
        <v>0</v>
      </c>
      <c r="AQ97" s="20">
        <f t="shared" si="87"/>
        <v>0</v>
      </c>
      <c r="AR97" s="20">
        <f t="shared" si="88"/>
        <v>0</v>
      </c>
    </row>
    <row r="98" spans="2:44" x14ac:dyDescent="0.25">
      <c r="B98" s="19">
        <v>19</v>
      </c>
      <c r="C98" s="20">
        <f t="shared" ref="C98:D98" si="105">IF((C74+$Y$2)&gt;0,1,0)</f>
        <v>1</v>
      </c>
      <c r="D98" s="20">
        <f t="shared" si="105"/>
        <v>1</v>
      </c>
      <c r="E98" s="20">
        <f t="shared" ref="E98:V98" si="106">IF((E74+$Y$2)&gt;0,1,0)</f>
        <v>1</v>
      </c>
      <c r="F98" s="20">
        <f t="shared" si="106"/>
        <v>1</v>
      </c>
      <c r="G98" s="20">
        <f t="shared" si="106"/>
        <v>1</v>
      </c>
      <c r="H98" s="20">
        <f t="shared" si="106"/>
        <v>1</v>
      </c>
      <c r="I98" s="20">
        <f t="shared" si="106"/>
        <v>1</v>
      </c>
      <c r="J98" s="20">
        <f t="shared" si="106"/>
        <v>1</v>
      </c>
      <c r="K98" s="20">
        <f t="shared" si="106"/>
        <v>1</v>
      </c>
      <c r="L98" s="20">
        <f t="shared" si="106"/>
        <v>1</v>
      </c>
      <c r="M98" s="20">
        <f t="shared" si="106"/>
        <v>1</v>
      </c>
      <c r="N98" s="20">
        <f t="shared" si="106"/>
        <v>1</v>
      </c>
      <c r="O98" s="20">
        <f t="shared" si="106"/>
        <v>1</v>
      </c>
      <c r="P98" s="20">
        <f t="shared" si="106"/>
        <v>1</v>
      </c>
      <c r="Q98" s="20">
        <f t="shared" si="106"/>
        <v>1</v>
      </c>
      <c r="R98" s="20">
        <f t="shared" si="106"/>
        <v>1</v>
      </c>
      <c r="S98" s="20">
        <f t="shared" si="106"/>
        <v>1</v>
      </c>
      <c r="T98" s="20">
        <f t="shared" si="106"/>
        <v>1</v>
      </c>
      <c r="U98" s="20">
        <f t="shared" si="106"/>
        <v>1</v>
      </c>
      <c r="V98" s="20">
        <f t="shared" si="106"/>
        <v>1</v>
      </c>
      <c r="W98" s="19"/>
      <c r="X98" s="19"/>
      <c r="Y98" s="20">
        <f t="shared" si="53"/>
        <v>0</v>
      </c>
      <c r="Z98" s="20">
        <f t="shared" si="91"/>
        <v>0</v>
      </c>
      <c r="AA98" s="20">
        <f t="shared" si="92"/>
        <v>0</v>
      </c>
      <c r="AB98" s="20">
        <f t="shared" si="93"/>
        <v>0</v>
      </c>
      <c r="AC98" s="20">
        <f t="shared" si="94"/>
        <v>0</v>
      </c>
      <c r="AD98" s="20">
        <f t="shared" si="95"/>
        <v>0</v>
      </c>
      <c r="AE98" s="20">
        <f t="shared" si="96"/>
        <v>0</v>
      </c>
      <c r="AF98" s="20">
        <f t="shared" si="97"/>
        <v>1</v>
      </c>
      <c r="AG98" s="20">
        <f t="shared" si="98"/>
        <v>1</v>
      </c>
      <c r="AH98" s="20">
        <f t="shared" si="78"/>
        <v>0</v>
      </c>
      <c r="AI98" s="20">
        <f t="shared" si="79"/>
        <v>0</v>
      </c>
      <c r="AJ98" s="20">
        <f t="shared" si="80"/>
        <v>0</v>
      </c>
      <c r="AK98" s="20">
        <f t="shared" si="81"/>
        <v>0</v>
      </c>
      <c r="AL98" s="20">
        <f t="shared" si="82"/>
        <v>1</v>
      </c>
      <c r="AM98" s="20">
        <f t="shared" si="83"/>
        <v>0</v>
      </c>
      <c r="AN98" s="20">
        <f t="shared" si="84"/>
        <v>1</v>
      </c>
      <c r="AO98" s="20">
        <f t="shared" si="85"/>
        <v>0</v>
      </c>
      <c r="AP98" s="20">
        <f t="shared" si="86"/>
        <v>0</v>
      </c>
      <c r="AQ98" s="20">
        <f t="shared" si="87"/>
        <v>0</v>
      </c>
      <c r="AR98" s="20">
        <f t="shared" si="88"/>
        <v>0</v>
      </c>
    </row>
    <row r="99" spans="2:44" x14ac:dyDescent="0.25">
      <c r="B99" s="19">
        <v>20</v>
      </c>
      <c r="C99" s="20">
        <f t="shared" ref="C99:D99" si="107">IF((C75+$Y$2)&gt;0,1,0)</f>
        <v>1</v>
      </c>
      <c r="D99" s="20">
        <f t="shared" si="107"/>
        <v>1</v>
      </c>
      <c r="E99" s="20">
        <f t="shared" ref="E99:V99" si="108">IF((E75+$Y$2)&gt;0,1,0)</f>
        <v>1</v>
      </c>
      <c r="F99" s="20">
        <f t="shared" si="108"/>
        <v>1</v>
      </c>
      <c r="G99" s="20">
        <f t="shared" si="108"/>
        <v>1</v>
      </c>
      <c r="H99" s="20">
        <f t="shared" si="108"/>
        <v>1</v>
      </c>
      <c r="I99" s="20">
        <f t="shared" si="108"/>
        <v>1</v>
      </c>
      <c r="J99" s="20">
        <f t="shared" si="108"/>
        <v>1</v>
      </c>
      <c r="K99" s="20">
        <f t="shared" si="108"/>
        <v>1</v>
      </c>
      <c r="L99" s="20">
        <f t="shared" si="108"/>
        <v>1</v>
      </c>
      <c r="M99" s="20">
        <f t="shared" si="108"/>
        <v>1</v>
      </c>
      <c r="N99" s="20">
        <f t="shared" si="108"/>
        <v>1</v>
      </c>
      <c r="O99" s="20">
        <f t="shared" si="108"/>
        <v>1</v>
      </c>
      <c r="P99" s="20">
        <f t="shared" si="108"/>
        <v>1</v>
      </c>
      <c r="Q99" s="20">
        <f t="shared" si="108"/>
        <v>1</v>
      </c>
      <c r="R99" s="20">
        <f t="shared" si="108"/>
        <v>1</v>
      </c>
      <c r="S99" s="20">
        <f t="shared" si="108"/>
        <v>1</v>
      </c>
      <c r="T99" s="20">
        <f t="shared" si="108"/>
        <v>1</v>
      </c>
      <c r="U99" s="20">
        <f t="shared" si="108"/>
        <v>1</v>
      </c>
      <c r="V99" s="20">
        <f t="shared" si="108"/>
        <v>1</v>
      </c>
      <c r="W99" s="19"/>
      <c r="X99" s="19"/>
      <c r="Y99" s="20">
        <f t="shared" si="53"/>
        <v>0</v>
      </c>
      <c r="Z99" s="20">
        <f t="shared" si="91"/>
        <v>0</v>
      </c>
      <c r="AA99" s="20">
        <f t="shared" si="92"/>
        <v>0</v>
      </c>
      <c r="AB99" s="20">
        <f t="shared" si="93"/>
        <v>0</v>
      </c>
      <c r="AC99" s="20">
        <f t="shared" si="94"/>
        <v>0</v>
      </c>
      <c r="AD99" s="20">
        <f t="shared" si="95"/>
        <v>0</v>
      </c>
      <c r="AE99" s="20">
        <f t="shared" si="96"/>
        <v>0</v>
      </c>
      <c r="AF99" s="20">
        <f t="shared" si="97"/>
        <v>1</v>
      </c>
      <c r="AG99" s="20">
        <f t="shared" si="98"/>
        <v>1</v>
      </c>
      <c r="AH99" s="20">
        <f t="shared" si="78"/>
        <v>0</v>
      </c>
      <c r="AI99" s="20">
        <f t="shared" si="79"/>
        <v>0</v>
      </c>
      <c r="AJ99" s="20">
        <f t="shared" si="80"/>
        <v>0</v>
      </c>
      <c r="AK99" s="20">
        <f t="shared" si="81"/>
        <v>0</v>
      </c>
      <c r="AL99" s="20">
        <f t="shared" si="82"/>
        <v>0</v>
      </c>
      <c r="AM99" s="20">
        <f t="shared" si="83"/>
        <v>0</v>
      </c>
      <c r="AN99" s="20">
        <f t="shared" si="84"/>
        <v>1</v>
      </c>
      <c r="AO99" s="20">
        <f t="shared" si="85"/>
        <v>0</v>
      </c>
      <c r="AP99" s="20">
        <f t="shared" si="86"/>
        <v>1</v>
      </c>
      <c r="AQ99" s="20">
        <f t="shared" si="87"/>
        <v>0</v>
      </c>
      <c r="AR99" s="20">
        <f t="shared" si="88"/>
        <v>0</v>
      </c>
    </row>
    <row r="100" spans="2:44" x14ac:dyDescent="0.25">
      <c r="W100" s="19"/>
      <c r="X100" s="19"/>
    </row>
    <row r="101" spans="2:44" x14ac:dyDescent="0.25">
      <c r="W101" s="19"/>
      <c r="X101" s="19"/>
    </row>
    <row r="102" spans="2:44" x14ac:dyDescent="0.25">
      <c r="W102" s="19"/>
      <c r="X102" s="19"/>
    </row>
    <row r="103" spans="2:44" x14ac:dyDescent="0.25">
      <c r="C103" s="20">
        <v>1</v>
      </c>
      <c r="D103" s="20">
        <v>2</v>
      </c>
      <c r="E103" s="20">
        <v>3</v>
      </c>
      <c r="F103" s="20">
        <v>4</v>
      </c>
      <c r="G103" s="20">
        <v>5</v>
      </c>
      <c r="H103" s="20">
        <v>6</v>
      </c>
      <c r="I103" s="20">
        <v>7</v>
      </c>
      <c r="J103" s="20">
        <v>8</v>
      </c>
      <c r="K103" s="20">
        <v>9</v>
      </c>
      <c r="L103" s="20">
        <v>10</v>
      </c>
      <c r="M103" s="20">
        <v>11</v>
      </c>
      <c r="N103" s="20">
        <v>12</v>
      </c>
      <c r="O103" s="20">
        <v>13</v>
      </c>
      <c r="P103" s="20">
        <v>14</v>
      </c>
      <c r="Q103" s="20">
        <v>15</v>
      </c>
      <c r="R103" s="20">
        <v>16</v>
      </c>
      <c r="S103" s="20">
        <v>17</v>
      </c>
      <c r="T103" s="20">
        <v>18</v>
      </c>
      <c r="U103" s="20">
        <v>19</v>
      </c>
      <c r="V103" s="20">
        <v>20</v>
      </c>
      <c r="W103" s="19"/>
      <c r="X103" s="19"/>
    </row>
    <row r="104" spans="2:44" x14ac:dyDescent="0.25">
      <c r="B104" s="19">
        <v>1</v>
      </c>
      <c r="C104" s="20">
        <f>(1/(SQRT((C$7-(SUMPRODUCT($C$7:$V$7,$C33:$V33)/($A33+1)))^2+(C$8-(SUMPRODUCT($C$8:$V$8,$C33:$V33)/($A33+1)))^2)+1)-$Y$6)*$Y$9</f>
        <v>8.8816712367785086E-2</v>
      </c>
      <c r="D104" s="20">
        <f t="shared" ref="D104:V104" si="109">(1/(SQRT((D$7-(SUMPRODUCT($C$7:$V$7,$C33:$V33)/($A33+1)))^2+(D$8-(SUMPRODUCT($C$8:$V$8,$C33:$V33)/($A33+1)))^2)+1)-$Y$6)*$Y$9</f>
        <v>0.10275248635596666</v>
      </c>
      <c r="E104" s="20">
        <f t="shared" si="109"/>
        <v>5.8475284368265712E-2</v>
      </c>
      <c r="F104" s="20">
        <f t="shared" si="109"/>
        <v>0.17826035697019474</v>
      </c>
      <c r="G104" s="20">
        <f t="shared" si="109"/>
        <v>0.15604697037861889</v>
      </c>
      <c r="H104" s="20">
        <f t="shared" si="109"/>
        <v>0.27081318457076031</v>
      </c>
      <c r="I104" s="20">
        <f t="shared" si="109"/>
        <v>8.6598744261809454E-2</v>
      </c>
      <c r="J104" s="20">
        <f t="shared" si="109"/>
        <v>0.13918546143426822</v>
      </c>
      <c r="K104" s="20">
        <f t="shared" si="109"/>
        <v>0.27081318457076031</v>
      </c>
      <c r="L104" s="20">
        <f t="shared" si="109"/>
        <v>0.1158457425543559</v>
      </c>
      <c r="M104" s="20">
        <f t="shared" si="109"/>
        <v>0.17826035697019474</v>
      </c>
      <c r="N104" s="20">
        <f t="shared" si="109"/>
        <v>9.4764394318796685E-2</v>
      </c>
      <c r="O104" s="20">
        <f t="shared" si="109"/>
        <v>8.6598744261809454E-2</v>
      </c>
      <c r="P104" s="20">
        <f t="shared" si="109"/>
        <v>0.10727704745123251</v>
      </c>
      <c r="Q104" s="20">
        <f t="shared" si="109"/>
        <v>6.5246260866068065E-2</v>
      </c>
      <c r="R104" s="20">
        <f t="shared" si="109"/>
        <v>0.16597681693032765</v>
      </c>
      <c r="S104" s="20">
        <f t="shared" si="109"/>
        <v>0.10727704745123251</v>
      </c>
      <c r="T104" s="20">
        <f t="shared" si="109"/>
        <v>8.5552133891531795E-2</v>
      </c>
      <c r="U104" s="20">
        <f t="shared" si="109"/>
        <v>0.15604697037861889</v>
      </c>
      <c r="V104" s="20">
        <f t="shared" si="109"/>
        <v>0.16879264089884097</v>
      </c>
      <c r="W104" s="19"/>
      <c r="X104" s="19"/>
    </row>
    <row r="105" spans="2:44" x14ac:dyDescent="0.25">
      <c r="B105" s="19">
        <v>2</v>
      </c>
      <c r="C105" s="20">
        <f>(1/(SQRT((C$7-((SUMPRODUCT($C$7:$V$7,$C34:$V34)/($A34+1))+(SUMPRODUCT($C$7:$V$7,$C32:$V32)/($A32+1))))^2+(C$8-((SUMPRODUCT($C$8:$V$8,$C34:$V34)/($A34+1))+(SUMPRODUCT($C$8:$V$8,$C32:$V32)/($A32+1))))^2)+1)-$Y$6)*$Y$9</f>
        <v>0.18090731123429271</v>
      </c>
      <c r="D105" s="20">
        <f t="shared" ref="D105:V119" si="110">(1/(SQRT((D$7-((SUMPRODUCT($C$7:$V$7,$C34:$V34)/($A34+1))+(SUMPRODUCT($C$7:$V$7,$C32:$V32)/($A32+1))))^2+(D$8-((SUMPRODUCT($C$8:$V$8,$C34:$V34)/($A34+1))+(SUMPRODUCT($C$8:$V$8,$C32:$V32)/($A32+1))))^2)+1)-$Y$6)*$Y$9</f>
        <v>0.18090731123429271</v>
      </c>
      <c r="E105" s="20">
        <f t="shared" si="110"/>
        <v>8.6157862939894289E-2</v>
      </c>
      <c r="F105" s="20">
        <f t="shared" si="110"/>
        <v>7.3585259123899502E-2</v>
      </c>
      <c r="G105" s="20">
        <f t="shared" si="110"/>
        <v>6.8229112041766377E-2</v>
      </c>
      <c r="H105" s="20">
        <f t="shared" si="110"/>
        <v>8.2863965519253735E-2</v>
      </c>
      <c r="I105" s="20">
        <f t="shared" si="110"/>
        <v>6.2565208339023251E-2</v>
      </c>
      <c r="J105" s="20">
        <f t="shared" si="110"/>
        <v>8.546667206622334E-2</v>
      </c>
      <c r="K105" s="20">
        <f t="shared" si="110"/>
        <v>0.13299282904102766</v>
      </c>
      <c r="L105" s="20">
        <f t="shared" si="110"/>
        <v>0.13036395476007279</v>
      </c>
      <c r="M105" s="20">
        <f t="shared" si="110"/>
        <v>7.9930528009287752E-2</v>
      </c>
      <c r="N105" s="20">
        <f t="shared" si="110"/>
        <v>0.17411239489546831</v>
      </c>
      <c r="O105" s="20">
        <f t="shared" si="110"/>
        <v>0.12556198186509598</v>
      </c>
      <c r="P105" s="20">
        <f t="shared" si="110"/>
        <v>0.14923419446018063</v>
      </c>
      <c r="Q105" s="20">
        <f t="shared" si="110"/>
        <v>0.13579648178933995</v>
      </c>
      <c r="R105" s="20">
        <f t="shared" si="110"/>
        <v>8.1064972931408893E-2</v>
      </c>
      <c r="S105" s="20">
        <f t="shared" si="110"/>
        <v>7.0001881798213234E-2</v>
      </c>
      <c r="T105" s="20">
        <f t="shared" si="110"/>
        <v>0.28172904669025317</v>
      </c>
      <c r="U105" s="20">
        <f t="shared" si="110"/>
        <v>7.4019266901587166E-2</v>
      </c>
      <c r="V105" s="20">
        <f t="shared" si="110"/>
        <v>7.4019266901587166E-2</v>
      </c>
      <c r="W105" s="19"/>
      <c r="X105" s="19"/>
    </row>
    <row r="106" spans="2:44" x14ac:dyDescent="0.25">
      <c r="B106" s="19">
        <v>3</v>
      </c>
      <c r="C106" s="20">
        <f t="shared" ref="C106:R122" si="111">(1/(SQRT((C$7-((SUMPRODUCT($C$7:$V$7,$C35:$V35)/($A35+1))+(SUMPRODUCT($C$7:$V$7,$C33:$V33)/($A33+1))))^2+(C$8-((SUMPRODUCT($C$8:$V$8,$C35:$V35)/($A35+1))+(SUMPRODUCT($C$8:$V$8,$C33:$V33)/($A33+1))))^2)+1)-$Y$6)*$Y$9</f>
        <v>0.12389934309929541</v>
      </c>
      <c r="D106" s="20">
        <f t="shared" si="111"/>
        <v>7.2430972238439861E-2</v>
      </c>
      <c r="E106" s="20">
        <f t="shared" si="111"/>
        <v>8.8529810866542852E-2</v>
      </c>
      <c r="F106" s="20">
        <f t="shared" si="111"/>
        <v>0.10414144201428256</v>
      </c>
      <c r="G106" s="20">
        <f t="shared" si="111"/>
        <v>7.6434799817893598E-2</v>
      </c>
      <c r="H106" s="20">
        <f t="shared" si="111"/>
        <v>9.5357673938259974E-2</v>
      </c>
      <c r="I106" s="20">
        <f t="shared" si="111"/>
        <v>0.14118784806383944</v>
      </c>
      <c r="J106" s="20">
        <f t="shared" si="111"/>
        <v>6.6508514528664284E-2</v>
      </c>
      <c r="K106" s="20">
        <f t="shared" si="111"/>
        <v>9.7851719729677239E-2</v>
      </c>
      <c r="L106" s="20">
        <f t="shared" si="111"/>
        <v>6.9365407067032051E-2</v>
      </c>
      <c r="M106" s="20">
        <f t="shared" si="111"/>
        <v>0.13507810593582123</v>
      </c>
      <c r="N106" s="20">
        <f t="shared" si="111"/>
        <v>0.14118784806383944</v>
      </c>
      <c r="O106" s="20">
        <f t="shared" si="111"/>
        <v>0.16396078054371141</v>
      </c>
      <c r="P106" s="20">
        <f t="shared" si="111"/>
        <v>0.19519410160110379</v>
      </c>
      <c r="Q106" s="20">
        <f t="shared" si="111"/>
        <v>7.6677740130502048E-2</v>
      </c>
      <c r="R106" s="20">
        <f t="shared" si="111"/>
        <v>7.1233164558611228E-2</v>
      </c>
      <c r="S106" s="20">
        <f t="shared" si="110"/>
        <v>0.16396078054371141</v>
      </c>
      <c r="T106" s="20">
        <f t="shared" si="110"/>
        <v>7.8977065108819258E-2</v>
      </c>
      <c r="U106" s="20">
        <f t="shared" si="110"/>
        <v>0.12389934309929541</v>
      </c>
      <c r="V106" s="20">
        <f t="shared" si="110"/>
        <v>0.11350416126511091</v>
      </c>
      <c r="W106" s="19"/>
      <c r="X106" s="19"/>
    </row>
    <row r="107" spans="2:44" x14ac:dyDescent="0.25">
      <c r="B107" s="19">
        <v>4</v>
      </c>
      <c r="C107" s="20">
        <f t="shared" si="111"/>
        <v>9.1747370480532636E-2</v>
      </c>
      <c r="D107" s="20">
        <f t="shared" si="110"/>
        <v>0.10815240673485554</v>
      </c>
      <c r="E107" s="20">
        <f t="shared" si="110"/>
        <v>5.9483487151975482E-2</v>
      </c>
      <c r="F107" s="20">
        <f t="shared" si="110"/>
        <v>0.16396078054371141</v>
      </c>
      <c r="G107" s="20">
        <f t="shared" si="110"/>
        <v>0.1463924816619788</v>
      </c>
      <c r="H107" s="20">
        <f t="shared" si="110"/>
        <v>0.2402530733520421</v>
      </c>
      <c r="I107" s="20">
        <f t="shared" si="110"/>
        <v>8.4626326089585924E-2</v>
      </c>
      <c r="J107" s="20">
        <f t="shared" si="110"/>
        <v>0.14118784806383944</v>
      </c>
      <c r="K107" s="20">
        <f t="shared" si="110"/>
        <v>0.3090169943749474</v>
      </c>
      <c r="L107" s="20">
        <f t="shared" si="110"/>
        <v>0.12178632452799958</v>
      </c>
      <c r="M107" s="20">
        <f t="shared" si="110"/>
        <v>0.16666666666666666</v>
      </c>
      <c r="N107" s="20">
        <f t="shared" si="110"/>
        <v>9.7851719729677239E-2</v>
      </c>
      <c r="O107" s="20">
        <f t="shared" si="110"/>
        <v>8.8529810866542852E-2</v>
      </c>
      <c r="P107" s="20">
        <f t="shared" si="110"/>
        <v>0.11034777731716484</v>
      </c>
      <c r="Q107" s="20">
        <f t="shared" si="110"/>
        <v>6.7148145778384405E-2</v>
      </c>
      <c r="R107" s="20">
        <f t="shared" si="110"/>
        <v>0.16396078054371141</v>
      </c>
      <c r="S107" s="20">
        <f t="shared" si="110"/>
        <v>0.10414144201428256</v>
      </c>
      <c r="T107" s="20">
        <f t="shared" si="110"/>
        <v>8.9301349778500683E-2</v>
      </c>
      <c r="U107" s="20">
        <f t="shared" si="110"/>
        <v>0.1463924816619788</v>
      </c>
      <c r="V107" s="20">
        <f t="shared" si="110"/>
        <v>0.15661302882623229</v>
      </c>
      <c r="W107" s="19"/>
      <c r="X107" s="19"/>
    </row>
    <row r="108" spans="2:44" x14ac:dyDescent="0.25">
      <c r="B108" s="19">
        <v>5</v>
      </c>
      <c r="C108" s="20">
        <f t="shared" si="111"/>
        <v>7.3585259123899502E-2</v>
      </c>
      <c r="D108" s="20">
        <f t="shared" si="110"/>
        <v>6.0814506153602108E-2</v>
      </c>
      <c r="E108" s="20">
        <f t="shared" si="110"/>
        <v>5.7720631703632792E-2</v>
      </c>
      <c r="F108" s="20">
        <f t="shared" si="110"/>
        <v>0.18090731123429271</v>
      </c>
      <c r="G108" s="20">
        <f t="shared" si="110"/>
        <v>0.10510060395752727</v>
      </c>
      <c r="H108" s="20">
        <f t="shared" si="110"/>
        <v>0.12556198186509598</v>
      </c>
      <c r="I108" s="20">
        <f t="shared" si="110"/>
        <v>0.22048120921154241</v>
      </c>
      <c r="J108" s="20">
        <f t="shared" si="110"/>
        <v>7.037374532347497E-2</v>
      </c>
      <c r="K108" s="20">
        <f t="shared" si="110"/>
        <v>9.1535555083483114E-2</v>
      </c>
      <c r="L108" s="20">
        <f t="shared" si="110"/>
        <v>6.2828143973707881E-2</v>
      </c>
      <c r="M108" s="20">
        <f t="shared" si="110"/>
        <v>0.25539679298968671</v>
      </c>
      <c r="N108" s="20">
        <f t="shared" si="110"/>
        <v>7.9381374567364812E-2</v>
      </c>
      <c r="O108" s="20">
        <f t="shared" si="110"/>
        <v>8.2863965519253735E-2</v>
      </c>
      <c r="P108" s="20">
        <f t="shared" si="110"/>
        <v>9.4182426566510088E-2</v>
      </c>
      <c r="Q108" s="20">
        <f t="shared" si="110"/>
        <v>5.3867213236586324E-2</v>
      </c>
      <c r="R108" s="20">
        <f t="shared" si="110"/>
        <v>8.0491580376802027E-2</v>
      </c>
      <c r="S108" s="20">
        <f t="shared" si="110"/>
        <v>0.38742588672279304</v>
      </c>
      <c r="T108" s="20">
        <f t="shared" si="110"/>
        <v>5.9205759769664822E-2</v>
      </c>
      <c r="U108" s="20">
        <f t="shared" si="110"/>
        <v>0.28172904669025317</v>
      </c>
      <c r="V108" s="20">
        <f t="shared" si="110"/>
        <v>0.22048120921154241</v>
      </c>
      <c r="W108" s="19"/>
      <c r="X108" s="19"/>
    </row>
    <row r="109" spans="2:44" x14ac:dyDescent="0.25">
      <c r="B109" s="19">
        <v>6</v>
      </c>
      <c r="C109" s="20">
        <f t="shared" si="111"/>
        <v>4.8079257987783452E-2</v>
      </c>
      <c r="D109" s="20">
        <f t="shared" si="110"/>
        <v>5.9483487151975482E-2</v>
      </c>
      <c r="E109" s="20">
        <f t="shared" si="110"/>
        <v>3.757633122096396E-2</v>
      </c>
      <c r="F109" s="20">
        <f t="shared" si="110"/>
        <v>0.10815240673485554</v>
      </c>
      <c r="G109" s="20">
        <f t="shared" si="110"/>
        <v>0.1827439976315568</v>
      </c>
      <c r="H109" s="20">
        <f t="shared" si="110"/>
        <v>0.12178632452799958</v>
      </c>
      <c r="I109" s="20">
        <f t="shared" si="110"/>
        <v>5.8715701335474206E-2</v>
      </c>
      <c r="J109" s="20">
        <f t="shared" si="110"/>
        <v>0.11034777731716484</v>
      </c>
      <c r="K109" s="20">
        <f t="shared" si="110"/>
        <v>8.4626326089585924E-2</v>
      </c>
      <c r="L109" s="20">
        <f t="shared" si="110"/>
        <v>6.972691561653295E-2</v>
      </c>
      <c r="M109" s="20">
        <f t="shared" si="110"/>
        <v>8.7410245452875457E-2</v>
      </c>
      <c r="N109" s="20">
        <f t="shared" si="110"/>
        <v>4.97389372927E-2</v>
      </c>
      <c r="O109" s="20">
        <f t="shared" si="110"/>
        <v>4.7619047619047616E-2</v>
      </c>
      <c r="P109" s="20">
        <f t="shared" si="110"/>
        <v>5.3178777894825488E-2</v>
      </c>
      <c r="Q109" s="20">
        <f t="shared" si="110"/>
        <v>4.0649006191388296E-2</v>
      </c>
      <c r="R109" s="20">
        <f t="shared" si="110"/>
        <v>0.13652705949581431</v>
      </c>
      <c r="S109" s="20">
        <f t="shared" si="110"/>
        <v>6.604088253131131E-2</v>
      </c>
      <c r="T109" s="20">
        <f t="shared" si="110"/>
        <v>4.941838499097926E-2</v>
      </c>
      <c r="U109" s="20">
        <f t="shared" si="110"/>
        <v>8.9301349778500683E-2</v>
      </c>
      <c r="V109" s="20">
        <f t="shared" si="110"/>
        <v>9.7851719729677239E-2</v>
      </c>
      <c r="W109" s="19"/>
      <c r="X109" s="19"/>
    </row>
    <row r="110" spans="2:44" x14ac:dyDescent="0.25">
      <c r="B110" s="19">
        <v>7</v>
      </c>
      <c r="C110" s="20">
        <f t="shared" si="111"/>
        <v>5.8475284368265712E-2</v>
      </c>
      <c r="D110" s="20">
        <f t="shared" si="110"/>
        <v>6.6627020364260686E-2</v>
      </c>
      <c r="E110" s="20">
        <f t="shared" si="110"/>
        <v>4.4307279720243384E-2</v>
      </c>
      <c r="F110" s="20">
        <f t="shared" si="110"/>
        <v>0.21551468935838852</v>
      </c>
      <c r="G110" s="20">
        <f t="shared" si="110"/>
        <v>0.47213595499957939</v>
      </c>
      <c r="H110" s="20">
        <f t="shared" si="110"/>
        <v>0.22966848451216434</v>
      </c>
      <c r="I110" s="20">
        <f t="shared" si="110"/>
        <v>0.08</v>
      </c>
      <c r="J110" s="20">
        <f t="shared" si="110"/>
        <v>0.11329855470953135</v>
      </c>
      <c r="K110" s="20">
        <f t="shared" si="110"/>
        <v>0.10941624977854181</v>
      </c>
      <c r="L110" s="20">
        <f t="shared" si="110"/>
        <v>7.6374434577954051E-2</v>
      </c>
      <c r="M110" s="20">
        <f t="shared" si="110"/>
        <v>0.14593533700330263</v>
      </c>
      <c r="N110" s="20">
        <f t="shared" si="110"/>
        <v>6.1330023001131689E-2</v>
      </c>
      <c r="O110" s="20">
        <f t="shared" si="110"/>
        <v>5.91232129349437E-2</v>
      </c>
      <c r="P110" s="20">
        <f t="shared" si="110"/>
        <v>6.7599018357377652E-2</v>
      </c>
      <c r="Q110" s="20">
        <f t="shared" si="110"/>
        <v>4.6831536447786135E-2</v>
      </c>
      <c r="R110" s="20">
        <f t="shared" si="110"/>
        <v>0.15174115516527187</v>
      </c>
      <c r="S110" s="20">
        <f t="shared" si="110"/>
        <v>9.4764394318796685E-2</v>
      </c>
      <c r="T110" s="20">
        <f t="shared" si="110"/>
        <v>5.6751208496256721E-2</v>
      </c>
      <c r="U110" s="20">
        <f t="shared" si="110"/>
        <v>0.15174115516527187</v>
      </c>
      <c r="V110" s="20">
        <f t="shared" si="110"/>
        <v>0.17826035697019474</v>
      </c>
      <c r="W110" s="19"/>
      <c r="X110" s="19"/>
    </row>
    <row r="111" spans="2:44" x14ac:dyDescent="0.25">
      <c r="B111" s="19">
        <v>8</v>
      </c>
      <c r="C111" s="20">
        <f t="shared" si="111"/>
        <v>5.6178835969462909E-2</v>
      </c>
      <c r="D111" s="20">
        <f t="shared" si="110"/>
        <v>7.7610440812867831E-2</v>
      </c>
      <c r="E111" s="20">
        <f t="shared" si="110"/>
        <v>4.1847121421329424E-2</v>
      </c>
      <c r="F111" s="20">
        <f t="shared" si="110"/>
        <v>0.1141280565085234</v>
      </c>
      <c r="G111" s="20">
        <f t="shared" si="110"/>
        <v>0.19876254912454261</v>
      </c>
      <c r="H111" s="20">
        <f t="shared" si="110"/>
        <v>0.15384615384615385</v>
      </c>
      <c r="I111" s="20">
        <f t="shared" si="110"/>
        <v>5.9567586722444887E-2</v>
      </c>
      <c r="J111" s="20">
        <f t="shared" si="110"/>
        <v>0.19876254912454261</v>
      </c>
      <c r="K111" s="20">
        <f t="shared" si="110"/>
        <v>0.11858127877712907</v>
      </c>
      <c r="L111" s="20">
        <f t="shared" si="110"/>
        <v>9.670458952040234E-2</v>
      </c>
      <c r="M111" s="20">
        <f t="shared" si="110"/>
        <v>9.4764394318796685E-2</v>
      </c>
      <c r="N111" s="20">
        <f t="shared" si="110"/>
        <v>5.8055217310154249E-2</v>
      </c>
      <c r="O111" s="20">
        <f t="shared" si="110"/>
        <v>5.4221808878853771E-2</v>
      </c>
      <c r="P111" s="20">
        <f t="shared" si="110"/>
        <v>6.1702090448406292E-2</v>
      </c>
      <c r="Q111" s="20">
        <f t="shared" si="110"/>
        <v>4.7213381096887545E-2</v>
      </c>
      <c r="R111" s="20">
        <f t="shared" si="110"/>
        <v>0.2857142857142857</v>
      </c>
      <c r="S111" s="20">
        <f t="shared" si="110"/>
        <v>6.8271762828373439E-2</v>
      </c>
      <c r="T111" s="20">
        <f t="shared" si="110"/>
        <v>6.0487927438123069E-2</v>
      </c>
      <c r="U111" s="20">
        <f t="shared" si="110"/>
        <v>9.338599377451795E-2</v>
      </c>
      <c r="V111" s="20">
        <f t="shared" si="110"/>
        <v>0.10275248635596666</v>
      </c>
      <c r="W111" s="19"/>
      <c r="X111" s="19"/>
    </row>
    <row r="112" spans="2:44" x14ac:dyDescent="0.25">
      <c r="B112" s="19">
        <v>9</v>
      </c>
      <c r="C112" s="20">
        <f t="shared" si="111"/>
        <v>4.8079257987783452E-2</v>
      </c>
      <c r="D112" s="20">
        <f t="shared" si="110"/>
        <v>5.9483487151975482E-2</v>
      </c>
      <c r="E112" s="20">
        <f t="shared" si="110"/>
        <v>3.757633122096396E-2</v>
      </c>
      <c r="F112" s="20">
        <f t="shared" si="110"/>
        <v>0.10815240673485554</v>
      </c>
      <c r="G112" s="20">
        <f t="shared" si="110"/>
        <v>0.1827439976315568</v>
      </c>
      <c r="H112" s="20">
        <f t="shared" si="110"/>
        <v>0.12178632452799958</v>
      </c>
      <c r="I112" s="20">
        <f t="shared" si="110"/>
        <v>5.8715701335474206E-2</v>
      </c>
      <c r="J112" s="20">
        <f t="shared" si="110"/>
        <v>0.11034777731716484</v>
      </c>
      <c r="K112" s="20">
        <f t="shared" si="110"/>
        <v>8.4626326089585924E-2</v>
      </c>
      <c r="L112" s="20">
        <f t="shared" si="110"/>
        <v>6.972691561653295E-2</v>
      </c>
      <c r="M112" s="20">
        <f t="shared" si="110"/>
        <v>8.7410245452875457E-2</v>
      </c>
      <c r="N112" s="20">
        <f t="shared" si="110"/>
        <v>4.97389372927E-2</v>
      </c>
      <c r="O112" s="20">
        <f t="shared" si="110"/>
        <v>4.7619047619047616E-2</v>
      </c>
      <c r="P112" s="20">
        <f t="shared" si="110"/>
        <v>5.3178777894825488E-2</v>
      </c>
      <c r="Q112" s="20">
        <f t="shared" si="110"/>
        <v>4.0649006191388296E-2</v>
      </c>
      <c r="R112" s="20">
        <f t="shared" si="110"/>
        <v>0.13652705949581431</v>
      </c>
      <c r="S112" s="20">
        <f t="shared" si="110"/>
        <v>6.604088253131131E-2</v>
      </c>
      <c r="T112" s="20">
        <f t="shared" si="110"/>
        <v>4.941838499097926E-2</v>
      </c>
      <c r="U112" s="20">
        <f t="shared" si="110"/>
        <v>8.9301349778500683E-2</v>
      </c>
      <c r="V112" s="20">
        <f t="shared" si="110"/>
        <v>9.7851719729677239E-2</v>
      </c>
      <c r="W112" s="19"/>
      <c r="X112" s="19"/>
    </row>
    <row r="113" spans="2:40" x14ac:dyDescent="0.25">
      <c r="B113" s="19">
        <v>10</v>
      </c>
      <c r="C113" s="20">
        <f t="shared" si="111"/>
        <v>5.6178835969462909E-2</v>
      </c>
      <c r="D113" s="20">
        <f t="shared" si="110"/>
        <v>7.7610440812867831E-2</v>
      </c>
      <c r="E113" s="20">
        <f t="shared" si="110"/>
        <v>4.1847121421329424E-2</v>
      </c>
      <c r="F113" s="20">
        <f t="shared" si="110"/>
        <v>0.1141280565085234</v>
      </c>
      <c r="G113" s="20">
        <f t="shared" si="110"/>
        <v>0.19876254912454261</v>
      </c>
      <c r="H113" s="20">
        <f t="shared" si="110"/>
        <v>0.15384615384615385</v>
      </c>
      <c r="I113" s="20">
        <f t="shared" si="110"/>
        <v>5.9567586722444887E-2</v>
      </c>
      <c r="J113" s="20">
        <f t="shared" si="110"/>
        <v>0.19876254912454261</v>
      </c>
      <c r="K113" s="20">
        <f t="shared" si="110"/>
        <v>0.11858127877712907</v>
      </c>
      <c r="L113" s="20">
        <f t="shared" si="110"/>
        <v>9.670458952040234E-2</v>
      </c>
      <c r="M113" s="20">
        <f t="shared" si="110"/>
        <v>9.4764394318796685E-2</v>
      </c>
      <c r="N113" s="20">
        <f t="shared" si="110"/>
        <v>5.8055217310154249E-2</v>
      </c>
      <c r="O113" s="20">
        <f t="shared" si="110"/>
        <v>5.4221808878853771E-2</v>
      </c>
      <c r="P113" s="20">
        <f t="shared" si="110"/>
        <v>6.1702090448406292E-2</v>
      </c>
      <c r="Q113" s="20">
        <f t="shared" si="110"/>
        <v>4.7213381096887545E-2</v>
      </c>
      <c r="R113" s="20">
        <f t="shared" si="110"/>
        <v>0.2857142857142857</v>
      </c>
      <c r="S113" s="20">
        <f t="shared" si="110"/>
        <v>6.8271762828373439E-2</v>
      </c>
      <c r="T113" s="20">
        <f t="shared" si="110"/>
        <v>6.0487927438123069E-2</v>
      </c>
      <c r="U113" s="20">
        <f t="shared" si="110"/>
        <v>9.338599377451795E-2</v>
      </c>
      <c r="V113" s="20">
        <f t="shared" si="110"/>
        <v>0.10275248635596666</v>
      </c>
      <c r="W113" s="19"/>
      <c r="X113" s="19"/>
    </row>
    <row r="114" spans="2:40" x14ac:dyDescent="0.25">
      <c r="B114" s="19">
        <v>11</v>
      </c>
      <c r="C114" s="20">
        <f t="shared" si="111"/>
        <v>6.0964748362960272E-2</v>
      </c>
      <c r="D114" s="20">
        <f t="shared" si="110"/>
        <v>6.8965517241379309E-2</v>
      </c>
      <c r="E114" s="20">
        <f t="shared" si="110"/>
        <v>4.5740117547553402E-2</v>
      </c>
      <c r="F114" s="20">
        <f t="shared" si="110"/>
        <v>0.24744015335140729</v>
      </c>
      <c r="G114" s="20">
        <f t="shared" si="110"/>
        <v>0.47213595499957939</v>
      </c>
      <c r="H114" s="20">
        <f t="shared" si="110"/>
        <v>0.27081318457076031</v>
      </c>
      <c r="I114" s="20">
        <f t="shared" si="110"/>
        <v>8.3254534492911605E-2</v>
      </c>
      <c r="J114" s="20">
        <f t="shared" si="110"/>
        <v>0.1158457425543559</v>
      </c>
      <c r="K114" s="20">
        <f t="shared" si="110"/>
        <v>0.1167355195593027</v>
      </c>
      <c r="L114" s="20">
        <f t="shared" si="110"/>
        <v>7.8910295969898347E-2</v>
      </c>
      <c r="M114" s="20">
        <f t="shared" si="110"/>
        <v>0.16076774302686761</v>
      </c>
      <c r="N114" s="20">
        <f t="shared" si="110"/>
        <v>6.4089902786856223E-2</v>
      </c>
      <c r="O114" s="20">
        <f t="shared" si="110"/>
        <v>6.1702090448406292E-2</v>
      </c>
      <c r="P114" s="20">
        <f t="shared" si="110"/>
        <v>7.0991203103097797E-2</v>
      </c>
      <c r="Q114" s="20">
        <f t="shared" si="110"/>
        <v>4.8359012696839933E-2</v>
      </c>
      <c r="R114" s="20">
        <f t="shared" si="110"/>
        <v>0.15604697037861889</v>
      </c>
      <c r="S114" s="20">
        <f t="shared" si="110"/>
        <v>9.9861410450591576E-2</v>
      </c>
      <c r="T114" s="20">
        <f t="shared" si="110"/>
        <v>5.8796515547824182E-2</v>
      </c>
      <c r="U114" s="20">
        <f t="shared" si="110"/>
        <v>0.16597681693032765</v>
      </c>
      <c r="V114" s="20">
        <f t="shared" si="110"/>
        <v>0.19876254912454261</v>
      </c>
      <c r="W114" s="19"/>
      <c r="X114" s="19"/>
    </row>
    <row r="115" spans="2:40" x14ac:dyDescent="0.25">
      <c r="B115" s="19">
        <v>12</v>
      </c>
      <c r="C115" s="20">
        <f t="shared" si="111"/>
        <v>9.0909090909090912E-2</v>
      </c>
      <c r="D115" s="20">
        <f t="shared" si="110"/>
        <v>9.5357673938259974E-2</v>
      </c>
      <c r="E115" s="20">
        <f t="shared" si="110"/>
        <v>6.0166663999231727E-2</v>
      </c>
      <c r="F115" s="20">
        <f t="shared" si="110"/>
        <v>0.2</v>
      </c>
      <c r="G115" s="20">
        <f t="shared" si="110"/>
        <v>0.15022110482233483</v>
      </c>
      <c r="H115" s="20">
        <f t="shared" si="110"/>
        <v>0.26120387496374142</v>
      </c>
      <c r="I115" s="20">
        <f t="shared" si="110"/>
        <v>9.5840694682461411E-2</v>
      </c>
      <c r="J115" s="20">
        <f t="shared" si="110"/>
        <v>0.12077134402462537</v>
      </c>
      <c r="K115" s="20">
        <f t="shared" si="110"/>
        <v>0.21712927295533244</v>
      </c>
      <c r="L115" s="20">
        <f t="shared" si="110"/>
        <v>0.10414144201428256</v>
      </c>
      <c r="M115" s="20">
        <f t="shared" si="110"/>
        <v>0.21712927295533244</v>
      </c>
      <c r="N115" s="20">
        <f t="shared" si="110"/>
        <v>9.7851719729677239E-2</v>
      </c>
      <c r="O115" s="20">
        <f t="shared" si="110"/>
        <v>9.0909090909090912E-2</v>
      </c>
      <c r="P115" s="20">
        <f t="shared" si="110"/>
        <v>0.11350416126511091</v>
      </c>
      <c r="Q115" s="20">
        <f t="shared" si="110"/>
        <v>6.5283436584688007E-2</v>
      </c>
      <c r="R115" s="20">
        <f t="shared" si="110"/>
        <v>0.14285714285714285</v>
      </c>
      <c r="S115" s="20">
        <f t="shared" si="110"/>
        <v>0.12178632452799958</v>
      </c>
      <c r="T115" s="20">
        <f t="shared" si="110"/>
        <v>8.3019512538737683E-2</v>
      </c>
      <c r="U115" s="20">
        <f t="shared" si="110"/>
        <v>0.1827439976315568</v>
      </c>
      <c r="V115" s="20">
        <f t="shared" si="110"/>
        <v>0.19519410160110379</v>
      </c>
      <c r="W115" s="19"/>
      <c r="X115" s="19"/>
    </row>
    <row r="116" spans="2:40" x14ac:dyDescent="0.25">
      <c r="B116" s="19">
        <v>13</v>
      </c>
      <c r="C116" s="20">
        <f t="shared" si="111"/>
        <v>9.4297932670129023E-2</v>
      </c>
      <c r="D116" s="20">
        <f t="shared" si="110"/>
        <v>0.12256538371419255</v>
      </c>
      <c r="E116" s="20">
        <f t="shared" si="110"/>
        <v>5.9907664939756224E-2</v>
      </c>
      <c r="F116" s="20">
        <f t="shared" si="110"/>
        <v>0.13918546143426822</v>
      </c>
      <c r="G116" s="20">
        <f t="shared" si="110"/>
        <v>0.13333333333333333</v>
      </c>
      <c r="H116" s="20">
        <f t="shared" si="110"/>
        <v>0.19876254912454261</v>
      </c>
      <c r="I116" s="20">
        <f t="shared" si="110"/>
        <v>7.8122413896607207E-2</v>
      </c>
      <c r="J116" s="20">
        <f t="shared" si="110"/>
        <v>0.15384615384615385</v>
      </c>
      <c r="K116" s="20">
        <f t="shared" si="110"/>
        <v>0.47213595499957939</v>
      </c>
      <c r="L116" s="20">
        <f t="shared" si="110"/>
        <v>0.14078007745839591</v>
      </c>
      <c r="M116" s="20">
        <f t="shared" si="110"/>
        <v>0.14078007745839591</v>
      </c>
      <c r="N116" s="20">
        <f t="shared" si="110"/>
        <v>9.9861410450591576E-2</v>
      </c>
      <c r="O116" s="20">
        <f t="shared" si="110"/>
        <v>8.8434812960039438E-2</v>
      </c>
      <c r="P116" s="20">
        <f t="shared" si="110"/>
        <v>0.11015948966072774</v>
      </c>
      <c r="Q116" s="20">
        <f t="shared" si="110"/>
        <v>6.9863982727343815E-2</v>
      </c>
      <c r="R116" s="20">
        <f t="shared" si="110"/>
        <v>0.16879264089884097</v>
      </c>
      <c r="S116" s="20">
        <f t="shared" si="110"/>
        <v>9.4297932670129023E-2</v>
      </c>
      <c r="T116" s="20">
        <f t="shared" si="110"/>
        <v>9.670458952040234E-2</v>
      </c>
      <c r="U116" s="20">
        <f t="shared" si="110"/>
        <v>0.12584596814232599</v>
      </c>
      <c r="V116" s="20">
        <f t="shared" si="110"/>
        <v>0.13333333333333333</v>
      </c>
      <c r="W116" s="19"/>
      <c r="X116" s="19"/>
    </row>
    <row r="117" spans="2:40" ht="13" x14ac:dyDescent="0.3">
      <c r="B117" s="19">
        <v>14</v>
      </c>
      <c r="C117" s="20">
        <f t="shared" si="111"/>
        <v>0.12389934309929541</v>
      </c>
      <c r="D117" s="20">
        <f t="shared" si="110"/>
        <v>0.12178632452799958</v>
      </c>
      <c r="E117" s="20">
        <f t="shared" si="110"/>
        <v>7.1233164558611228E-2</v>
      </c>
      <c r="F117" s="20">
        <f t="shared" si="110"/>
        <v>0.12389934309929541</v>
      </c>
      <c r="G117" s="20">
        <f t="shared" si="110"/>
        <v>0.10414144201428256</v>
      </c>
      <c r="H117" s="20">
        <f t="shared" si="110"/>
        <v>0.1463924816619788</v>
      </c>
      <c r="I117" s="20">
        <f t="shared" si="110"/>
        <v>8.5983444756559363E-2</v>
      </c>
      <c r="J117" s="20">
        <f t="shared" si="110"/>
        <v>0.11034777731716484</v>
      </c>
      <c r="K117" s="20">
        <f t="shared" si="110"/>
        <v>0.25</v>
      </c>
      <c r="L117" s="20">
        <f t="shared" si="110"/>
        <v>0.12178632452799958</v>
      </c>
      <c r="M117" s="20">
        <f t="shared" si="110"/>
        <v>0.14118784806383944</v>
      </c>
      <c r="N117" s="20">
        <f t="shared" si="110"/>
        <v>0.13507810593582123</v>
      </c>
      <c r="O117" s="20">
        <f t="shared" si="110"/>
        <v>0.11606619483971768</v>
      </c>
      <c r="P117" s="20">
        <f t="shared" si="110"/>
        <v>0.15661302882623229</v>
      </c>
      <c r="Q117" s="20">
        <f t="shared" si="110"/>
        <v>8.2099515221765715E-2</v>
      </c>
      <c r="R117" s="20">
        <f t="shared" si="110"/>
        <v>0.11606619483971768</v>
      </c>
      <c r="S117" s="20">
        <f t="shared" si="110"/>
        <v>0.10414144201428256</v>
      </c>
      <c r="T117" s="20">
        <f t="shared" si="110"/>
        <v>0.1111111111111111</v>
      </c>
      <c r="U117" s="20">
        <f t="shared" si="110"/>
        <v>0.12389934309929541</v>
      </c>
      <c r="V117" s="20">
        <f t="shared" si="110"/>
        <v>0.125</v>
      </c>
      <c r="W117" s="19"/>
      <c r="X117" s="19"/>
      <c r="AF117" s="30" t="str">
        <f>AA1</f>
        <v>runs</v>
      </c>
      <c r="AG117" s="30" t="str">
        <f t="shared" ref="AG117:AH117" si="112">AB1</f>
        <v>run</v>
      </c>
      <c r="AH117" s="30" t="str">
        <f t="shared" si="112"/>
        <v>%</v>
      </c>
      <c r="AI117" s="20" t="s">
        <v>26</v>
      </c>
    </row>
    <row r="118" spans="2:40" ht="13" x14ac:dyDescent="0.3">
      <c r="B118" s="19">
        <v>15</v>
      </c>
      <c r="C118" s="20">
        <f t="shared" si="111"/>
        <v>8.3491625105021547E-2</v>
      </c>
      <c r="D118" s="20">
        <f t="shared" si="110"/>
        <v>0.13299282904102766</v>
      </c>
      <c r="E118" s="20">
        <f t="shared" si="110"/>
        <v>5.4887226252868244E-2</v>
      </c>
      <c r="F118" s="20">
        <f t="shared" si="110"/>
        <v>0.11929741177788225</v>
      </c>
      <c r="G118" s="20">
        <f t="shared" si="110"/>
        <v>0.13299282904102766</v>
      </c>
      <c r="H118" s="20">
        <f t="shared" si="110"/>
        <v>0.17411239489546831</v>
      </c>
      <c r="I118" s="20">
        <f t="shared" si="110"/>
        <v>6.7890827827978562E-2</v>
      </c>
      <c r="J118" s="20">
        <f t="shared" si="110"/>
        <v>0.22048120921154241</v>
      </c>
      <c r="K118" s="20">
        <f t="shared" si="110"/>
        <v>0.38742588672279304</v>
      </c>
      <c r="L118" s="20">
        <f t="shared" si="110"/>
        <v>0.17411239489546831</v>
      </c>
      <c r="M118" s="20">
        <f t="shared" si="110"/>
        <v>0.11391890072356342</v>
      </c>
      <c r="N118" s="20">
        <f t="shared" si="110"/>
        <v>8.6866648591911594E-2</v>
      </c>
      <c r="O118" s="20">
        <f t="shared" si="110"/>
        <v>7.680010648203002E-2</v>
      </c>
      <c r="P118" s="20">
        <f t="shared" si="110"/>
        <v>9.2392056043918855E-2</v>
      </c>
      <c r="Q118" s="20">
        <f t="shared" si="110"/>
        <v>6.5963921095269648E-2</v>
      </c>
      <c r="R118" s="20">
        <f t="shared" si="110"/>
        <v>0.22048120921154241</v>
      </c>
      <c r="S118" s="20">
        <f t="shared" si="110"/>
        <v>7.9930528009287752E-2</v>
      </c>
      <c r="T118" s="20">
        <f t="shared" si="110"/>
        <v>9.4182426566510088E-2</v>
      </c>
      <c r="U118" s="20">
        <f t="shared" si="110"/>
        <v>0.10510060395752727</v>
      </c>
      <c r="V118" s="20">
        <f t="shared" si="110"/>
        <v>0.11228770976294224</v>
      </c>
      <c r="W118" s="19"/>
      <c r="X118" s="19"/>
      <c r="AF118" s="31">
        <f>AA2</f>
        <v>7000</v>
      </c>
      <c r="AG118" s="32">
        <f t="shared" ref="AG118:AH118" si="113">AB2</f>
        <v>7424</v>
      </c>
      <c r="AH118" s="33">
        <f t="shared" si="113"/>
        <v>1.0605714285714285</v>
      </c>
      <c r="AI118" s="34">
        <f>AD2</f>
        <v>1</v>
      </c>
    </row>
    <row r="119" spans="2:40" x14ac:dyDescent="0.25">
      <c r="B119" s="19">
        <v>16</v>
      </c>
      <c r="C119" s="20">
        <f t="shared" si="111"/>
        <v>6.3027585215084114E-2</v>
      </c>
      <c r="D119" s="20">
        <f t="shared" si="110"/>
        <v>8.2099515221765715E-2</v>
      </c>
      <c r="E119" s="20">
        <f t="shared" si="110"/>
        <v>4.5853361219177803E-2</v>
      </c>
      <c r="F119" s="20">
        <f t="shared" si="110"/>
        <v>0.15661302882623229</v>
      </c>
      <c r="G119" s="20">
        <f t="shared" si="110"/>
        <v>0.3090169943749474</v>
      </c>
      <c r="H119" s="20">
        <f t="shared" ref="D119:V122" si="114">(1/(SQRT((H$7-((SUMPRODUCT($C$7:$V$7,$C48:$V48)/($A48+1))+(SUMPRODUCT($C$7:$V$7,$C46:$V46)/($A46+1))))^2+(H$8-((SUMPRODUCT($C$8:$V$8,$C48:$V48)/($A48+1))+(SUMPRODUCT($C$8:$V$8,$C46:$V46)/($A46+1))))^2)+1)-$Y$6)*$Y$9</f>
        <v>0.25</v>
      </c>
      <c r="I119" s="20">
        <f t="shared" si="114"/>
        <v>6.972691561653295E-2</v>
      </c>
      <c r="J119" s="20">
        <f t="shared" si="114"/>
        <v>0.1827439976315568</v>
      </c>
      <c r="K119" s="20">
        <f t="shared" si="114"/>
        <v>0.1463924816619788</v>
      </c>
      <c r="L119" s="20">
        <f t="shared" si="114"/>
        <v>0.1</v>
      </c>
      <c r="M119" s="20">
        <f t="shared" si="114"/>
        <v>0.12389934309929541</v>
      </c>
      <c r="N119" s="20">
        <f t="shared" si="114"/>
        <v>6.5734678624636292E-2</v>
      </c>
      <c r="O119" s="20">
        <f t="shared" si="114"/>
        <v>6.1484213458938577E-2</v>
      </c>
      <c r="P119" s="20">
        <f t="shared" si="114"/>
        <v>7.1233164558611228E-2</v>
      </c>
      <c r="Q119" s="20">
        <f t="shared" si="114"/>
        <v>5.101760938474862E-2</v>
      </c>
      <c r="R119" s="20">
        <f t="shared" si="114"/>
        <v>0.3090169943749474</v>
      </c>
      <c r="S119" s="20">
        <f t="shared" si="114"/>
        <v>8.2099515221765715E-2</v>
      </c>
      <c r="T119" s="20">
        <f t="shared" si="114"/>
        <v>6.5283436584688007E-2</v>
      </c>
      <c r="U119" s="20">
        <f t="shared" si="114"/>
        <v>0.12077134402462537</v>
      </c>
      <c r="V119" s="20">
        <f t="shared" si="114"/>
        <v>0.13652705949581431</v>
      </c>
      <c r="W119" s="19"/>
      <c r="X119" s="19"/>
      <c r="AF119" s="35"/>
      <c r="AG119" s="36"/>
      <c r="AH119" s="36"/>
      <c r="AI119" s="37"/>
    </row>
    <row r="120" spans="2:40" ht="13" x14ac:dyDescent="0.3">
      <c r="B120" s="19">
        <v>17</v>
      </c>
      <c r="C120" s="20">
        <f t="shared" si="111"/>
        <v>5.7874320439771615E-2</v>
      </c>
      <c r="D120" s="20">
        <f t="shared" si="114"/>
        <v>7.0656665337011079E-2</v>
      </c>
      <c r="E120" s="20">
        <f t="shared" si="114"/>
        <v>4.3435362697407526E-2</v>
      </c>
      <c r="F120" s="20">
        <f t="shared" si="114"/>
        <v>0.16666666666666666</v>
      </c>
      <c r="G120" s="20">
        <f t="shared" si="114"/>
        <v>0.5</v>
      </c>
      <c r="H120" s="20">
        <f t="shared" si="114"/>
        <v>0.21712927295533244</v>
      </c>
      <c r="I120" s="20">
        <f t="shared" si="114"/>
        <v>7.1233164558611228E-2</v>
      </c>
      <c r="J120" s="20">
        <f t="shared" si="114"/>
        <v>0.13652705949581431</v>
      </c>
      <c r="K120" s="20">
        <f t="shared" si="114"/>
        <v>0.11606619483971768</v>
      </c>
      <c r="L120" s="20">
        <f t="shared" si="114"/>
        <v>8.3333333333333329E-2</v>
      </c>
      <c r="M120" s="20">
        <f t="shared" si="114"/>
        <v>0.12389934309929541</v>
      </c>
      <c r="N120" s="20">
        <f t="shared" si="114"/>
        <v>6.0399789153958702E-2</v>
      </c>
      <c r="O120" s="20">
        <f t="shared" si="114"/>
        <v>5.7467236816629567E-2</v>
      </c>
      <c r="P120" s="20">
        <f t="shared" si="114"/>
        <v>6.5734678624636292E-2</v>
      </c>
      <c r="Q120" s="20">
        <f t="shared" si="114"/>
        <v>4.7062241396862069E-2</v>
      </c>
      <c r="R120" s="20">
        <f t="shared" si="114"/>
        <v>0.19519410160110379</v>
      </c>
      <c r="S120" s="20">
        <f t="shared" si="114"/>
        <v>8.3333333333333329E-2</v>
      </c>
      <c r="T120" s="20">
        <f t="shared" si="114"/>
        <v>5.8290363159244282E-2</v>
      </c>
      <c r="U120" s="20">
        <f t="shared" si="114"/>
        <v>0.125</v>
      </c>
      <c r="V120" s="20">
        <f t="shared" si="114"/>
        <v>0.14285714285714285</v>
      </c>
      <c r="W120" s="19"/>
      <c r="X120" s="19"/>
      <c r="AF120" s="38" t="str">
        <f>W51</f>
        <v>Total</v>
      </c>
      <c r="AG120" s="39">
        <f>X51</f>
        <v>14</v>
      </c>
      <c r="AH120" s="40"/>
      <c r="AI120" s="41"/>
    </row>
    <row r="121" spans="2:40" x14ac:dyDescent="0.25">
      <c r="B121" s="19">
        <v>18</v>
      </c>
      <c r="C121" s="20">
        <f t="shared" si="111"/>
        <v>9.9861410450591576E-2</v>
      </c>
      <c r="D121" s="20">
        <f t="shared" si="114"/>
        <v>9.6207989845592756E-2</v>
      </c>
      <c r="E121" s="20">
        <f t="shared" si="114"/>
        <v>6.4373088483941174E-2</v>
      </c>
      <c r="F121" s="20">
        <f t="shared" si="114"/>
        <v>0.17826035697019474</v>
      </c>
      <c r="G121" s="20">
        <f t="shared" si="114"/>
        <v>0.12941948075789503</v>
      </c>
      <c r="H121" s="20">
        <f t="shared" si="114"/>
        <v>0.20386840968093525</v>
      </c>
      <c r="I121" s="20">
        <f t="shared" si="114"/>
        <v>0.10098718092501505</v>
      </c>
      <c r="J121" s="20">
        <f t="shared" si="114"/>
        <v>0.10941624977854181</v>
      </c>
      <c r="K121" s="20">
        <f t="shared" si="114"/>
        <v>0.20386840968093525</v>
      </c>
      <c r="L121" s="20">
        <f t="shared" si="114"/>
        <v>0.1015650874624863</v>
      </c>
      <c r="M121" s="20">
        <f t="shared" si="114"/>
        <v>0.21551468935838852</v>
      </c>
      <c r="N121" s="20">
        <f t="shared" si="114"/>
        <v>0.10868844880646585</v>
      </c>
      <c r="O121" s="20">
        <f t="shared" si="114"/>
        <v>0.10098718092501505</v>
      </c>
      <c r="P121" s="20">
        <f t="shared" si="114"/>
        <v>0.12941948075789503</v>
      </c>
      <c r="Q121" s="20">
        <f t="shared" si="114"/>
        <v>6.9142369030991732E-2</v>
      </c>
      <c r="R121" s="20">
        <f t="shared" si="114"/>
        <v>0.1247219569701368</v>
      </c>
      <c r="S121" s="20">
        <f t="shared" si="114"/>
        <v>0.12941948075789503</v>
      </c>
      <c r="T121" s="20">
        <f t="shared" si="114"/>
        <v>8.6956521739130432E-2</v>
      </c>
      <c r="U121" s="20">
        <f t="shared" si="114"/>
        <v>0.17826035697019474</v>
      </c>
      <c r="V121" s="20">
        <f t="shared" si="114"/>
        <v>0.18181818181818182</v>
      </c>
      <c r="W121" s="19"/>
      <c r="X121" s="19"/>
    </row>
    <row r="122" spans="2:40" x14ac:dyDescent="0.25">
      <c r="B122" s="19">
        <v>19</v>
      </c>
      <c r="C122" s="20">
        <f t="shared" si="111"/>
        <v>8.3491625105021547E-2</v>
      </c>
      <c r="D122" s="20">
        <f t="shared" si="114"/>
        <v>0.13299282904102766</v>
      </c>
      <c r="E122" s="20">
        <f t="shared" si="114"/>
        <v>5.4887226252868244E-2</v>
      </c>
      <c r="F122" s="20">
        <f t="shared" si="114"/>
        <v>0.11929741177788225</v>
      </c>
      <c r="G122" s="20">
        <f t="shared" si="114"/>
        <v>0.13299282904102766</v>
      </c>
      <c r="H122" s="20">
        <f t="shared" si="114"/>
        <v>0.17411239489546831</v>
      </c>
      <c r="I122" s="20">
        <f t="shared" si="114"/>
        <v>6.7890827827978562E-2</v>
      </c>
      <c r="J122" s="20">
        <f t="shared" si="114"/>
        <v>0.22048120921154241</v>
      </c>
      <c r="K122" s="20">
        <f t="shared" si="114"/>
        <v>0.38742588672279304</v>
      </c>
      <c r="L122" s="20">
        <f t="shared" si="114"/>
        <v>0.17411239489546831</v>
      </c>
      <c r="M122" s="20">
        <f t="shared" si="114"/>
        <v>0.11391890072356342</v>
      </c>
      <c r="N122" s="20">
        <f t="shared" si="114"/>
        <v>8.6866648591911594E-2</v>
      </c>
      <c r="O122" s="20">
        <f t="shared" si="114"/>
        <v>7.680010648203002E-2</v>
      </c>
      <c r="P122" s="20">
        <f t="shared" si="114"/>
        <v>9.2392056043918855E-2</v>
      </c>
      <c r="Q122" s="20">
        <f t="shared" si="114"/>
        <v>6.5963921095269648E-2</v>
      </c>
      <c r="R122" s="20">
        <f t="shared" si="114"/>
        <v>0.22048120921154241</v>
      </c>
      <c r="S122" s="20">
        <f t="shared" si="114"/>
        <v>7.9930528009287752E-2</v>
      </c>
      <c r="T122" s="20">
        <f t="shared" si="114"/>
        <v>9.4182426566510088E-2</v>
      </c>
      <c r="U122" s="20">
        <f t="shared" si="114"/>
        <v>0.10510060395752727</v>
      </c>
      <c r="V122" s="20">
        <f t="shared" si="114"/>
        <v>0.11228770976294224</v>
      </c>
      <c r="W122" s="19"/>
      <c r="X122" s="19"/>
    </row>
    <row r="123" spans="2:40" x14ac:dyDescent="0.25">
      <c r="B123" s="19">
        <v>20</v>
      </c>
      <c r="C123" s="20">
        <f>(1/(SQRT((C$7-(SUMPRODUCT($C$7:$V$7,$C51:$V51)/($A51+1)))^2+(C$8-(SUMPRODUCT($C$8:$V$8,$C51:$V51)/($A51+1)))^2)+1)-$Y$6)*$Y$9</f>
        <v>8.3491625105021547E-2</v>
      </c>
      <c r="D123" s="20">
        <f t="shared" ref="D123:V123" si="115">(1/(SQRT((D$7-(SUMPRODUCT($C$7:$V$7,$C51:$V51)/($A51+1)))^2+(D$8-(SUMPRODUCT($C$8:$V$8,$C51:$V51)/($A51+1)))^2)+1)-$Y$6)*$Y$9</f>
        <v>0.13299282904102766</v>
      </c>
      <c r="E123" s="20">
        <f t="shared" si="115"/>
        <v>5.4887226252868244E-2</v>
      </c>
      <c r="F123" s="20">
        <f t="shared" si="115"/>
        <v>0.11929741177788225</v>
      </c>
      <c r="G123" s="20">
        <f t="shared" si="115"/>
        <v>0.13299282904102766</v>
      </c>
      <c r="H123" s="20">
        <f t="shared" si="115"/>
        <v>0.17411239489546831</v>
      </c>
      <c r="I123" s="20">
        <f t="shared" si="115"/>
        <v>6.7890827827978562E-2</v>
      </c>
      <c r="J123" s="20">
        <f t="shared" si="115"/>
        <v>0.22048120921154241</v>
      </c>
      <c r="K123" s="20">
        <f t="shared" si="115"/>
        <v>0.38742588672279304</v>
      </c>
      <c r="L123" s="20">
        <f t="shared" si="115"/>
        <v>0.17411239489546831</v>
      </c>
      <c r="M123" s="20">
        <f t="shared" si="115"/>
        <v>0.11391890072356342</v>
      </c>
      <c r="N123" s="20">
        <f t="shared" si="115"/>
        <v>8.6866648591911594E-2</v>
      </c>
      <c r="O123" s="20">
        <f t="shared" si="115"/>
        <v>7.680010648203002E-2</v>
      </c>
      <c r="P123" s="20">
        <f t="shared" si="115"/>
        <v>9.2392056043918855E-2</v>
      </c>
      <c r="Q123" s="20">
        <f t="shared" si="115"/>
        <v>6.5963921095269648E-2</v>
      </c>
      <c r="R123" s="20">
        <f t="shared" si="115"/>
        <v>0.22048120921154241</v>
      </c>
      <c r="S123" s="20">
        <f t="shared" si="115"/>
        <v>7.9930528009287752E-2</v>
      </c>
      <c r="T123" s="20">
        <f t="shared" si="115"/>
        <v>9.4182426566510088E-2</v>
      </c>
      <c r="U123" s="20">
        <f t="shared" si="115"/>
        <v>0.10510060395752727</v>
      </c>
      <c r="V123" s="20">
        <f t="shared" si="115"/>
        <v>0.11228770976294224</v>
      </c>
    </row>
    <row r="126" spans="2:40" x14ac:dyDescent="0.25">
      <c r="C126" s="20">
        <v>1</v>
      </c>
      <c r="D126" s="20">
        <v>2</v>
      </c>
      <c r="E126" s="20">
        <v>3</v>
      </c>
      <c r="F126" s="20">
        <v>4</v>
      </c>
      <c r="G126" s="20">
        <v>5</v>
      </c>
      <c r="H126" s="20">
        <v>6</v>
      </c>
      <c r="I126" s="20">
        <v>7</v>
      </c>
      <c r="J126" s="20">
        <v>8</v>
      </c>
      <c r="K126" s="20">
        <v>9</v>
      </c>
      <c r="L126" s="20">
        <v>10</v>
      </c>
      <c r="M126" s="20">
        <v>11</v>
      </c>
      <c r="N126" s="20">
        <v>12</v>
      </c>
      <c r="O126" s="20">
        <v>13</v>
      </c>
      <c r="P126" s="20">
        <v>14</v>
      </c>
      <c r="Q126" s="20">
        <v>15</v>
      </c>
      <c r="R126" s="20">
        <v>16</v>
      </c>
      <c r="S126" s="20">
        <v>17</v>
      </c>
      <c r="T126" s="20">
        <v>18</v>
      </c>
      <c r="U126" s="20">
        <v>19</v>
      </c>
      <c r="V126" s="20">
        <v>20</v>
      </c>
      <c r="Y126" s="20" t="s">
        <v>24</v>
      </c>
      <c r="AC126" s="20" t="s">
        <v>27</v>
      </c>
      <c r="AE126" s="20">
        <v>1</v>
      </c>
      <c r="AF126" s="20">
        <v>2</v>
      </c>
      <c r="AG126" s="20">
        <v>3</v>
      </c>
      <c r="AH126" s="20">
        <v>4</v>
      </c>
      <c r="AI126" s="20">
        <v>5</v>
      </c>
      <c r="AJ126" s="20">
        <v>6</v>
      </c>
      <c r="AK126" s="20">
        <v>7</v>
      </c>
      <c r="AL126" s="20">
        <v>8</v>
      </c>
      <c r="AM126" s="20">
        <v>9</v>
      </c>
      <c r="AN126" s="20">
        <v>10</v>
      </c>
    </row>
    <row r="127" spans="2:40" s="19" customFormat="1" x14ac:dyDescent="0.25">
      <c r="B127" s="19">
        <v>1</v>
      </c>
      <c r="C127" s="20">
        <f>IF(C32=1,COLUMN(C32)-2,0)</f>
        <v>0</v>
      </c>
      <c r="D127" s="20">
        <f t="shared" ref="D127:V128" si="116">IF(D32=1,COLUMN(D32)-2,0)</f>
        <v>2</v>
      </c>
      <c r="E127" s="20">
        <f t="shared" si="116"/>
        <v>0</v>
      </c>
      <c r="F127" s="20">
        <f t="shared" si="116"/>
        <v>0</v>
      </c>
      <c r="G127" s="20">
        <f t="shared" si="116"/>
        <v>0</v>
      </c>
      <c r="H127" s="20">
        <f t="shared" si="116"/>
        <v>0</v>
      </c>
      <c r="I127" s="20">
        <f t="shared" si="116"/>
        <v>0</v>
      </c>
      <c r="J127" s="20">
        <f t="shared" si="116"/>
        <v>0</v>
      </c>
      <c r="K127" s="20">
        <f t="shared" si="116"/>
        <v>0</v>
      </c>
      <c r="L127" s="20">
        <f t="shared" si="116"/>
        <v>0</v>
      </c>
      <c r="M127" s="20">
        <f t="shared" si="116"/>
        <v>0</v>
      </c>
      <c r="N127" s="20">
        <f t="shared" si="116"/>
        <v>0</v>
      </c>
      <c r="O127" s="20">
        <f t="shared" si="116"/>
        <v>0</v>
      </c>
      <c r="P127" s="20">
        <f t="shared" si="116"/>
        <v>0</v>
      </c>
      <c r="Q127" s="20">
        <f t="shared" si="116"/>
        <v>0</v>
      </c>
      <c r="R127" s="20">
        <f t="shared" si="116"/>
        <v>0</v>
      </c>
      <c r="S127" s="20">
        <f t="shared" si="116"/>
        <v>0</v>
      </c>
      <c r="T127" s="20">
        <f t="shared" si="116"/>
        <v>0</v>
      </c>
      <c r="U127" s="20">
        <f t="shared" si="116"/>
        <v>0</v>
      </c>
      <c r="V127" s="20">
        <f t="shared" si="116"/>
        <v>0</v>
      </c>
      <c r="X127" s="42">
        <v>1</v>
      </c>
      <c r="Y127" s="34">
        <f t="shared" ref="Y127:Y146" si="117">SUM(C127:V127)</f>
        <v>2</v>
      </c>
      <c r="Z127" s="43"/>
      <c r="AA127" s="43"/>
      <c r="AB127" s="42">
        <v>0.05</v>
      </c>
      <c r="AC127" s="34">
        <f t="shared" ref="AC127:AC146" si="118">Y127/20</f>
        <v>0.1</v>
      </c>
      <c r="AE127" s="44">
        <v>0.1</v>
      </c>
      <c r="AF127" s="44">
        <v>0.1</v>
      </c>
      <c r="AG127" s="44">
        <v>0.1</v>
      </c>
      <c r="AH127" s="44">
        <v>0.1</v>
      </c>
      <c r="AI127" s="44">
        <v>0.1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</row>
    <row r="128" spans="2:40" s="19" customFormat="1" x14ac:dyDescent="0.25">
      <c r="B128" s="19">
        <v>2</v>
      </c>
      <c r="C128" s="20">
        <f>IF(C33=1,COLUMN(C33)-2,0)</f>
        <v>0</v>
      </c>
      <c r="D128" s="20">
        <f t="shared" si="116"/>
        <v>0</v>
      </c>
      <c r="E128" s="20">
        <f t="shared" si="116"/>
        <v>0</v>
      </c>
      <c r="F128" s="20">
        <f t="shared" si="116"/>
        <v>0</v>
      </c>
      <c r="G128" s="20">
        <f t="shared" si="116"/>
        <v>0</v>
      </c>
      <c r="H128" s="20">
        <f t="shared" si="116"/>
        <v>0</v>
      </c>
      <c r="I128" s="20">
        <f t="shared" si="116"/>
        <v>0</v>
      </c>
      <c r="J128" s="20">
        <f t="shared" si="116"/>
        <v>0</v>
      </c>
      <c r="K128" s="20">
        <f t="shared" si="116"/>
        <v>0</v>
      </c>
      <c r="L128" s="20">
        <f t="shared" si="116"/>
        <v>0</v>
      </c>
      <c r="M128" s="20">
        <f t="shared" si="116"/>
        <v>0</v>
      </c>
      <c r="N128" s="20">
        <f t="shared" si="116"/>
        <v>12</v>
      </c>
      <c r="O128" s="20">
        <f t="shared" si="116"/>
        <v>0</v>
      </c>
      <c r="P128" s="20">
        <f t="shared" si="116"/>
        <v>0</v>
      </c>
      <c r="Q128" s="20">
        <f t="shared" si="116"/>
        <v>0</v>
      </c>
      <c r="R128" s="20">
        <f t="shared" si="116"/>
        <v>0</v>
      </c>
      <c r="S128" s="20">
        <f t="shared" si="116"/>
        <v>0</v>
      </c>
      <c r="T128" s="20">
        <f t="shared" si="116"/>
        <v>0</v>
      </c>
      <c r="U128" s="20">
        <f t="shared" si="116"/>
        <v>0</v>
      </c>
      <c r="V128" s="20">
        <f t="shared" si="116"/>
        <v>0</v>
      </c>
      <c r="X128" s="35">
        <v>2</v>
      </c>
      <c r="Y128" s="37">
        <f t="shared" si="117"/>
        <v>12</v>
      </c>
      <c r="Z128" s="43"/>
      <c r="AA128" s="43"/>
      <c r="AB128" s="35">
        <v>0.1</v>
      </c>
      <c r="AC128" s="37">
        <f t="shared" si="118"/>
        <v>0.6</v>
      </c>
      <c r="AE128" s="44">
        <v>0</v>
      </c>
      <c r="AF128" s="44">
        <v>0.4</v>
      </c>
      <c r="AG128" s="44">
        <v>0.3</v>
      </c>
      <c r="AH128" s="44">
        <v>0</v>
      </c>
      <c r="AI128" s="44">
        <v>0.05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</row>
    <row r="129" spans="2:40" s="19" customFormat="1" x14ac:dyDescent="0.25">
      <c r="B129" s="19">
        <v>3</v>
      </c>
      <c r="C129" s="20">
        <f t="shared" ref="C129:V129" si="119">IF(C34=1,COLUMN(C34)-2,0)</f>
        <v>1</v>
      </c>
      <c r="D129" s="20">
        <f t="shared" si="119"/>
        <v>0</v>
      </c>
      <c r="E129" s="20">
        <f t="shared" si="119"/>
        <v>0</v>
      </c>
      <c r="F129" s="20">
        <f t="shared" si="119"/>
        <v>0</v>
      </c>
      <c r="G129" s="20">
        <f t="shared" si="119"/>
        <v>0</v>
      </c>
      <c r="H129" s="20">
        <f t="shared" si="119"/>
        <v>0</v>
      </c>
      <c r="I129" s="20">
        <f t="shared" si="119"/>
        <v>0</v>
      </c>
      <c r="J129" s="20">
        <f t="shared" si="119"/>
        <v>0</v>
      </c>
      <c r="K129" s="20">
        <f t="shared" si="119"/>
        <v>0</v>
      </c>
      <c r="L129" s="20">
        <f t="shared" si="119"/>
        <v>0</v>
      </c>
      <c r="M129" s="20">
        <f t="shared" si="119"/>
        <v>0</v>
      </c>
      <c r="N129" s="20">
        <f t="shared" si="119"/>
        <v>0</v>
      </c>
      <c r="O129" s="20">
        <f t="shared" si="119"/>
        <v>0</v>
      </c>
      <c r="P129" s="20">
        <f t="shared" si="119"/>
        <v>0</v>
      </c>
      <c r="Q129" s="20">
        <f t="shared" si="119"/>
        <v>0</v>
      </c>
      <c r="R129" s="20">
        <f t="shared" si="119"/>
        <v>0</v>
      </c>
      <c r="S129" s="20">
        <f t="shared" si="119"/>
        <v>0</v>
      </c>
      <c r="T129" s="20">
        <f t="shared" si="119"/>
        <v>0</v>
      </c>
      <c r="U129" s="20">
        <f t="shared" si="119"/>
        <v>0</v>
      </c>
      <c r="V129" s="20">
        <f t="shared" si="119"/>
        <v>0</v>
      </c>
      <c r="X129" s="35">
        <v>3</v>
      </c>
      <c r="Y129" s="37">
        <f t="shared" si="117"/>
        <v>1</v>
      </c>
      <c r="Z129" s="43"/>
      <c r="AA129" s="43"/>
      <c r="AB129" s="35">
        <v>0.15</v>
      </c>
      <c r="AC129" s="37">
        <f t="shared" si="118"/>
        <v>0.05</v>
      </c>
      <c r="AE129" s="44">
        <v>0.3</v>
      </c>
      <c r="AF129" s="44">
        <v>0.25</v>
      </c>
      <c r="AG129" s="44">
        <v>0.95</v>
      </c>
      <c r="AH129" s="44">
        <v>0.05</v>
      </c>
      <c r="AI129" s="44">
        <v>0.6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</row>
    <row r="130" spans="2:40" s="19" customFormat="1" x14ac:dyDescent="0.25">
      <c r="B130" s="19">
        <v>4</v>
      </c>
      <c r="C130" s="20">
        <f t="shared" ref="C130:V130" si="120">IF(C35=1,COLUMN(C35)-2,0)</f>
        <v>0</v>
      </c>
      <c r="D130" s="20">
        <f t="shared" si="120"/>
        <v>0</v>
      </c>
      <c r="E130" s="20">
        <f t="shared" si="120"/>
        <v>0</v>
      </c>
      <c r="F130" s="20">
        <f t="shared" si="120"/>
        <v>0</v>
      </c>
      <c r="G130" s="20">
        <f t="shared" si="120"/>
        <v>0</v>
      </c>
      <c r="H130" s="20">
        <f t="shared" si="120"/>
        <v>0</v>
      </c>
      <c r="I130" s="20">
        <f t="shared" si="120"/>
        <v>7</v>
      </c>
      <c r="J130" s="20">
        <f t="shared" si="120"/>
        <v>0</v>
      </c>
      <c r="K130" s="20">
        <f t="shared" si="120"/>
        <v>0</v>
      </c>
      <c r="L130" s="20">
        <f t="shared" si="120"/>
        <v>0</v>
      </c>
      <c r="M130" s="20">
        <f t="shared" si="120"/>
        <v>0</v>
      </c>
      <c r="N130" s="20">
        <f t="shared" si="120"/>
        <v>0</v>
      </c>
      <c r="O130" s="20">
        <f t="shared" si="120"/>
        <v>0</v>
      </c>
      <c r="P130" s="20">
        <f t="shared" si="120"/>
        <v>0</v>
      </c>
      <c r="Q130" s="20">
        <f t="shared" si="120"/>
        <v>0</v>
      </c>
      <c r="R130" s="20">
        <f t="shared" si="120"/>
        <v>0</v>
      </c>
      <c r="S130" s="20">
        <f t="shared" si="120"/>
        <v>0</v>
      </c>
      <c r="T130" s="20">
        <f t="shared" si="120"/>
        <v>0</v>
      </c>
      <c r="U130" s="20">
        <f t="shared" si="120"/>
        <v>0</v>
      </c>
      <c r="V130" s="20">
        <f t="shared" si="120"/>
        <v>0</v>
      </c>
      <c r="X130" s="35">
        <v>4</v>
      </c>
      <c r="Y130" s="37">
        <f t="shared" si="117"/>
        <v>7</v>
      </c>
      <c r="Z130" s="43"/>
      <c r="AA130" s="43"/>
      <c r="AB130" s="35">
        <v>0.2</v>
      </c>
      <c r="AC130" s="37">
        <f t="shared" si="118"/>
        <v>0.35</v>
      </c>
      <c r="AE130" s="44">
        <v>0</v>
      </c>
      <c r="AF130" s="44">
        <v>0.55000000000000004</v>
      </c>
      <c r="AG130" s="44">
        <v>0.75</v>
      </c>
      <c r="AH130" s="44">
        <v>0.7</v>
      </c>
      <c r="AI130" s="44">
        <v>0.3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</row>
    <row r="131" spans="2:40" s="19" customFormat="1" x14ac:dyDescent="0.25">
      <c r="B131" s="19">
        <v>5</v>
      </c>
      <c r="C131" s="20">
        <f t="shared" ref="C131:V131" si="121">IF(C36=1,COLUMN(C36)-2,0)</f>
        <v>0</v>
      </c>
      <c r="D131" s="20">
        <f t="shared" si="121"/>
        <v>0</v>
      </c>
      <c r="E131" s="20">
        <f t="shared" si="121"/>
        <v>0</v>
      </c>
      <c r="F131" s="20">
        <f t="shared" si="121"/>
        <v>0</v>
      </c>
      <c r="G131" s="20">
        <f t="shared" si="121"/>
        <v>0</v>
      </c>
      <c r="H131" s="20">
        <f t="shared" si="121"/>
        <v>0</v>
      </c>
      <c r="I131" s="20">
        <f t="shared" si="121"/>
        <v>0</v>
      </c>
      <c r="J131" s="20">
        <f t="shared" si="121"/>
        <v>0</v>
      </c>
      <c r="K131" s="20">
        <f t="shared" si="121"/>
        <v>0</v>
      </c>
      <c r="L131" s="20">
        <f t="shared" si="121"/>
        <v>0</v>
      </c>
      <c r="M131" s="20">
        <f t="shared" si="121"/>
        <v>0</v>
      </c>
      <c r="N131" s="20">
        <f t="shared" si="121"/>
        <v>0</v>
      </c>
      <c r="O131" s="20">
        <f t="shared" si="121"/>
        <v>0</v>
      </c>
      <c r="P131" s="20">
        <f t="shared" si="121"/>
        <v>0</v>
      </c>
      <c r="Q131" s="20">
        <f t="shared" si="121"/>
        <v>0</v>
      </c>
      <c r="R131" s="20">
        <f t="shared" si="121"/>
        <v>0</v>
      </c>
      <c r="S131" s="20">
        <f t="shared" si="121"/>
        <v>0</v>
      </c>
      <c r="T131" s="20">
        <f t="shared" si="121"/>
        <v>0</v>
      </c>
      <c r="U131" s="20">
        <f t="shared" si="121"/>
        <v>0</v>
      </c>
      <c r="V131" s="20">
        <f t="shared" si="121"/>
        <v>0</v>
      </c>
      <c r="X131" s="35">
        <v>5</v>
      </c>
      <c r="Y131" s="37">
        <f t="shared" si="117"/>
        <v>0</v>
      </c>
      <c r="Z131" s="43"/>
      <c r="AA131" s="43"/>
      <c r="AB131" s="35">
        <v>0.25</v>
      </c>
      <c r="AC131" s="37">
        <f t="shared" si="118"/>
        <v>0</v>
      </c>
      <c r="AE131" s="44">
        <v>0.65</v>
      </c>
      <c r="AF131" s="44">
        <v>0.2</v>
      </c>
      <c r="AG131" s="44">
        <v>0.7</v>
      </c>
      <c r="AH131" s="44">
        <v>0.3</v>
      </c>
      <c r="AI131" s="44">
        <v>0.4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</row>
    <row r="132" spans="2:40" s="19" customFormat="1" x14ac:dyDescent="0.25">
      <c r="B132" s="19">
        <v>6</v>
      </c>
      <c r="C132" s="20">
        <f t="shared" ref="C132:V132" si="122">IF(C37=1,COLUMN(C37)-2,0)</f>
        <v>0</v>
      </c>
      <c r="D132" s="20">
        <f t="shared" si="122"/>
        <v>0</v>
      </c>
      <c r="E132" s="20">
        <f t="shared" si="122"/>
        <v>0</v>
      </c>
      <c r="F132" s="20">
        <f t="shared" si="122"/>
        <v>0</v>
      </c>
      <c r="G132" s="20">
        <f t="shared" si="122"/>
        <v>0</v>
      </c>
      <c r="H132" s="20">
        <f t="shared" si="122"/>
        <v>0</v>
      </c>
      <c r="I132" s="20">
        <f t="shared" si="122"/>
        <v>0</v>
      </c>
      <c r="J132" s="20">
        <f t="shared" si="122"/>
        <v>0</v>
      </c>
      <c r="K132" s="20">
        <f t="shared" si="122"/>
        <v>0</v>
      </c>
      <c r="L132" s="20">
        <f t="shared" si="122"/>
        <v>0</v>
      </c>
      <c r="M132" s="20">
        <f t="shared" si="122"/>
        <v>0</v>
      </c>
      <c r="N132" s="20">
        <f t="shared" si="122"/>
        <v>0</v>
      </c>
      <c r="O132" s="20">
        <f t="shared" si="122"/>
        <v>0</v>
      </c>
      <c r="P132" s="20">
        <f t="shared" si="122"/>
        <v>0</v>
      </c>
      <c r="Q132" s="20">
        <f t="shared" si="122"/>
        <v>0</v>
      </c>
      <c r="R132" s="20">
        <f t="shared" si="122"/>
        <v>0</v>
      </c>
      <c r="S132" s="20">
        <f t="shared" si="122"/>
        <v>0</v>
      </c>
      <c r="T132" s="20">
        <f t="shared" si="122"/>
        <v>0</v>
      </c>
      <c r="U132" s="20">
        <f t="shared" si="122"/>
        <v>0</v>
      </c>
      <c r="V132" s="20">
        <f t="shared" si="122"/>
        <v>20</v>
      </c>
      <c r="X132" s="35">
        <v>6</v>
      </c>
      <c r="Y132" s="37">
        <f t="shared" si="117"/>
        <v>20</v>
      </c>
      <c r="Z132" s="43"/>
      <c r="AA132" s="43"/>
      <c r="AB132" s="35">
        <v>0.3</v>
      </c>
      <c r="AC132" s="37">
        <f t="shared" si="118"/>
        <v>1</v>
      </c>
      <c r="AE132" s="44">
        <v>0.7</v>
      </c>
      <c r="AF132" s="44">
        <v>0</v>
      </c>
      <c r="AG132" s="44">
        <v>0</v>
      </c>
      <c r="AH132" s="44">
        <v>0.85</v>
      </c>
      <c r="AI132" s="44">
        <v>0.75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</row>
    <row r="133" spans="2:40" s="19" customFormat="1" x14ac:dyDescent="0.25">
      <c r="B133" s="19">
        <v>7</v>
      </c>
      <c r="C133" s="20">
        <f t="shared" ref="C133:V133" si="123">IF(C38=1,COLUMN(C38)-2,0)</f>
        <v>0</v>
      </c>
      <c r="D133" s="20">
        <f t="shared" si="123"/>
        <v>0</v>
      </c>
      <c r="E133" s="20">
        <f t="shared" si="123"/>
        <v>0</v>
      </c>
      <c r="F133" s="20">
        <f t="shared" si="123"/>
        <v>0</v>
      </c>
      <c r="G133" s="20">
        <f t="shared" si="123"/>
        <v>0</v>
      </c>
      <c r="H133" s="20">
        <f t="shared" si="123"/>
        <v>0</v>
      </c>
      <c r="I133" s="20">
        <f t="shared" si="123"/>
        <v>0</v>
      </c>
      <c r="J133" s="20">
        <f t="shared" si="123"/>
        <v>0</v>
      </c>
      <c r="K133" s="20">
        <f t="shared" si="123"/>
        <v>0</v>
      </c>
      <c r="L133" s="20">
        <f t="shared" si="123"/>
        <v>0</v>
      </c>
      <c r="M133" s="20">
        <f t="shared" si="123"/>
        <v>0</v>
      </c>
      <c r="N133" s="20">
        <f t="shared" si="123"/>
        <v>0</v>
      </c>
      <c r="O133" s="20">
        <f t="shared" si="123"/>
        <v>0</v>
      </c>
      <c r="P133" s="20">
        <f t="shared" si="123"/>
        <v>0</v>
      </c>
      <c r="Q133" s="20">
        <f t="shared" si="123"/>
        <v>0</v>
      </c>
      <c r="R133" s="20">
        <f t="shared" si="123"/>
        <v>0</v>
      </c>
      <c r="S133" s="20">
        <f t="shared" si="123"/>
        <v>0</v>
      </c>
      <c r="T133" s="20">
        <f t="shared" si="123"/>
        <v>0</v>
      </c>
      <c r="U133" s="20">
        <f t="shared" si="123"/>
        <v>0</v>
      </c>
      <c r="V133" s="20">
        <f t="shared" si="123"/>
        <v>0</v>
      </c>
      <c r="X133" s="35">
        <v>7</v>
      </c>
      <c r="Y133" s="37">
        <f t="shared" si="117"/>
        <v>0</v>
      </c>
      <c r="Z133" s="43"/>
      <c r="AA133" s="43"/>
      <c r="AB133" s="35">
        <v>0.35</v>
      </c>
      <c r="AC133" s="37">
        <f t="shared" si="118"/>
        <v>0</v>
      </c>
      <c r="AE133" s="44">
        <v>0.75</v>
      </c>
      <c r="AF133" s="44">
        <v>0.65</v>
      </c>
      <c r="AG133" s="44">
        <v>0.25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</row>
    <row r="134" spans="2:40" s="19" customFormat="1" x14ac:dyDescent="0.25">
      <c r="B134" s="19">
        <v>8</v>
      </c>
      <c r="C134" s="20">
        <f t="shared" ref="C134:V134" si="124">IF(C39=1,COLUMN(C39)-2,0)</f>
        <v>0</v>
      </c>
      <c r="D134" s="20">
        <f t="shared" si="124"/>
        <v>0</v>
      </c>
      <c r="E134" s="20">
        <f t="shared" si="124"/>
        <v>0</v>
      </c>
      <c r="F134" s="20">
        <f t="shared" si="124"/>
        <v>0</v>
      </c>
      <c r="G134" s="20">
        <f t="shared" si="124"/>
        <v>0</v>
      </c>
      <c r="H134" s="20">
        <f t="shared" si="124"/>
        <v>0</v>
      </c>
      <c r="I134" s="20">
        <f t="shared" si="124"/>
        <v>0</v>
      </c>
      <c r="J134" s="20">
        <f t="shared" si="124"/>
        <v>0</v>
      </c>
      <c r="K134" s="20">
        <f t="shared" si="124"/>
        <v>0</v>
      </c>
      <c r="L134" s="20">
        <f t="shared" si="124"/>
        <v>0</v>
      </c>
      <c r="M134" s="20">
        <f t="shared" si="124"/>
        <v>0</v>
      </c>
      <c r="N134" s="20">
        <f t="shared" si="124"/>
        <v>0</v>
      </c>
      <c r="O134" s="20">
        <f t="shared" si="124"/>
        <v>0</v>
      </c>
      <c r="P134" s="20">
        <f t="shared" si="124"/>
        <v>0</v>
      </c>
      <c r="Q134" s="20">
        <f t="shared" si="124"/>
        <v>0</v>
      </c>
      <c r="R134" s="20">
        <f t="shared" si="124"/>
        <v>0</v>
      </c>
      <c r="S134" s="20">
        <f t="shared" si="124"/>
        <v>0</v>
      </c>
      <c r="T134" s="20">
        <f t="shared" si="124"/>
        <v>0</v>
      </c>
      <c r="U134" s="20">
        <f t="shared" si="124"/>
        <v>0</v>
      </c>
      <c r="V134" s="20">
        <f t="shared" si="124"/>
        <v>0</v>
      </c>
      <c r="X134" s="35">
        <v>8</v>
      </c>
      <c r="Y134" s="37">
        <f t="shared" si="117"/>
        <v>0</v>
      </c>
      <c r="Z134" s="43"/>
      <c r="AA134" s="43"/>
      <c r="AB134" s="35">
        <v>0.4</v>
      </c>
      <c r="AC134" s="37">
        <f t="shared" si="118"/>
        <v>0</v>
      </c>
      <c r="AE134" s="44">
        <v>0.15</v>
      </c>
      <c r="AF134" s="44">
        <v>0</v>
      </c>
      <c r="AG134" s="44">
        <v>0</v>
      </c>
      <c r="AH134" s="44">
        <v>0.75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</row>
    <row r="135" spans="2:40" s="19" customFormat="1" x14ac:dyDescent="0.25">
      <c r="B135" s="19">
        <v>9</v>
      </c>
      <c r="C135" s="20">
        <f t="shared" ref="C135:V135" si="125">IF(C40=1,COLUMN(C40)-2,0)</f>
        <v>0</v>
      </c>
      <c r="D135" s="20">
        <f t="shared" si="125"/>
        <v>0</v>
      </c>
      <c r="E135" s="20">
        <f t="shared" si="125"/>
        <v>0</v>
      </c>
      <c r="F135" s="20">
        <f t="shared" si="125"/>
        <v>0</v>
      </c>
      <c r="G135" s="20">
        <f t="shared" si="125"/>
        <v>0</v>
      </c>
      <c r="H135" s="20">
        <f t="shared" si="125"/>
        <v>0</v>
      </c>
      <c r="I135" s="20">
        <f t="shared" si="125"/>
        <v>0</v>
      </c>
      <c r="J135" s="20">
        <f t="shared" si="125"/>
        <v>8</v>
      </c>
      <c r="K135" s="20">
        <f t="shared" si="125"/>
        <v>0</v>
      </c>
      <c r="L135" s="20">
        <f t="shared" si="125"/>
        <v>0</v>
      </c>
      <c r="M135" s="20">
        <f t="shared" si="125"/>
        <v>0</v>
      </c>
      <c r="N135" s="20">
        <f t="shared" si="125"/>
        <v>0</v>
      </c>
      <c r="O135" s="20">
        <f t="shared" si="125"/>
        <v>0</v>
      </c>
      <c r="P135" s="20">
        <f t="shared" si="125"/>
        <v>0</v>
      </c>
      <c r="Q135" s="20">
        <f t="shared" si="125"/>
        <v>0</v>
      </c>
      <c r="R135" s="20">
        <f t="shared" si="125"/>
        <v>0</v>
      </c>
      <c r="S135" s="20">
        <f t="shared" si="125"/>
        <v>0</v>
      </c>
      <c r="T135" s="20">
        <f t="shared" si="125"/>
        <v>0</v>
      </c>
      <c r="U135" s="20">
        <f t="shared" si="125"/>
        <v>0</v>
      </c>
      <c r="V135" s="20">
        <f t="shared" si="125"/>
        <v>0</v>
      </c>
      <c r="X135" s="35">
        <v>9</v>
      </c>
      <c r="Y135" s="37">
        <f t="shared" si="117"/>
        <v>8</v>
      </c>
      <c r="Z135" s="43"/>
      <c r="AA135" s="43"/>
      <c r="AB135" s="35">
        <v>0.45</v>
      </c>
      <c r="AC135" s="37">
        <f t="shared" si="118"/>
        <v>0.4</v>
      </c>
      <c r="AE135" s="44">
        <v>0.35</v>
      </c>
      <c r="AF135" s="44">
        <v>0.85</v>
      </c>
      <c r="AG135" s="44">
        <v>0.35</v>
      </c>
      <c r="AH135" s="44">
        <v>0</v>
      </c>
      <c r="AI135" s="44">
        <v>0.85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</row>
    <row r="136" spans="2:40" s="19" customFormat="1" x14ac:dyDescent="0.25">
      <c r="B136" s="19">
        <v>10</v>
      </c>
      <c r="C136" s="20">
        <f t="shared" ref="C136:V136" si="126">IF(C41=1,COLUMN(C41)-2,0)</f>
        <v>0</v>
      </c>
      <c r="D136" s="20">
        <f t="shared" si="126"/>
        <v>0</v>
      </c>
      <c r="E136" s="20">
        <f t="shared" si="126"/>
        <v>0</v>
      </c>
      <c r="F136" s="20">
        <f t="shared" si="126"/>
        <v>0</v>
      </c>
      <c r="G136" s="20">
        <f t="shared" si="126"/>
        <v>0</v>
      </c>
      <c r="H136" s="20">
        <f t="shared" si="126"/>
        <v>0</v>
      </c>
      <c r="I136" s="20">
        <f t="shared" si="126"/>
        <v>0</v>
      </c>
      <c r="J136" s="20">
        <f t="shared" si="126"/>
        <v>0</v>
      </c>
      <c r="K136" s="20">
        <f t="shared" si="126"/>
        <v>0</v>
      </c>
      <c r="L136" s="20">
        <f t="shared" si="126"/>
        <v>0</v>
      </c>
      <c r="M136" s="20">
        <f t="shared" si="126"/>
        <v>0</v>
      </c>
      <c r="N136" s="20">
        <f t="shared" si="126"/>
        <v>0</v>
      </c>
      <c r="O136" s="20">
        <f t="shared" si="126"/>
        <v>0</v>
      </c>
      <c r="P136" s="20">
        <f t="shared" si="126"/>
        <v>0</v>
      </c>
      <c r="Q136" s="20">
        <f t="shared" si="126"/>
        <v>0</v>
      </c>
      <c r="R136" s="20">
        <f t="shared" si="126"/>
        <v>0</v>
      </c>
      <c r="S136" s="20">
        <f t="shared" si="126"/>
        <v>0</v>
      </c>
      <c r="T136" s="20">
        <f t="shared" si="126"/>
        <v>0</v>
      </c>
      <c r="U136" s="20">
        <f t="shared" si="126"/>
        <v>0</v>
      </c>
      <c r="V136" s="20">
        <f t="shared" si="126"/>
        <v>0</v>
      </c>
      <c r="X136" s="35">
        <v>10</v>
      </c>
      <c r="Y136" s="37">
        <f t="shared" si="117"/>
        <v>0</v>
      </c>
      <c r="Z136" s="43"/>
      <c r="AA136" s="43"/>
      <c r="AB136" s="35">
        <v>0.5</v>
      </c>
      <c r="AC136" s="37">
        <f t="shared" si="118"/>
        <v>0</v>
      </c>
      <c r="AE136" s="44">
        <v>0</v>
      </c>
      <c r="AF136" s="44">
        <v>0.45</v>
      </c>
      <c r="AG136" s="44">
        <v>1</v>
      </c>
      <c r="AH136" s="44">
        <v>0</v>
      </c>
      <c r="AI136" s="44">
        <v>0.2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</row>
    <row r="137" spans="2:40" s="19" customFormat="1" x14ac:dyDescent="0.25">
      <c r="B137" s="19">
        <v>11</v>
      </c>
      <c r="C137" s="20">
        <f t="shared" ref="C137:V137" si="127">IF(C42=1,COLUMN(C42)-2,0)</f>
        <v>0</v>
      </c>
      <c r="D137" s="20">
        <f t="shared" si="127"/>
        <v>0</v>
      </c>
      <c r="E137" s="20">
        <f t="shared" si="127"/>
        <v>0</v>
      </c>
      <c r="F137" s="20">
        <f t="shared" si="127"/>
        <v>0</v>
      </c>
      <c r="G137" s="20">
        <f t="shared" si="127"/>
        <v>0</v>
      </c>
      <c r="H137" s="20">
        <f t="shared" si="127"/>
        <v>0</v>
      </c>
      <c r="I137" s="20">
        <f t="shared" si="127"/>
        <v>0</v>
      </c>
      <c r="J137" s="20">
        <f t="shared" si="127"/>
        <v>0</v>
      </c>
      <c r="K137" s="20">
        <f t="shared" si="127"/>
        <v>0</v>
      </c>
      <c r="L137" s="20">
        <f t="shared" si="127"/>
        <v>0</v>
      </c>
      <c r="M137" s="20">
        <f t="shared" si="127"/>
        <v>0</v>
      </c>
      <c r="N137" s="20">
        <f t="shared" si="127"/>
        <v>0</v>
      </c>
      <c r="O137" s="20">
        <f t="shared" si="127"/>
        <v>0</v>
      </c>
      <c r="P137" s="20">
        <f t="shared" si="127"/>
        <v>0</v>
      </c>
      <c r="Q137" s="20">
        <f t="shared" si="127"/>
        <v>0</v>
      </c>
      <c r="R137" s="20">
        <f t="shared" si="127"/>
        <v>0</v>
      </c>
      <c r="S137" s="20">
        <f t="shared" si="127"/>
        <v>0</v>
      </c>
      <c r="T137" s="20">
        <f t="shared" si="127"/>
        <v>0</v>
      </c>
      <c r="U137" s="20">
        <f t="shared" si="127"/>
        <v>0</v>
      </c>
      <c r="V137" s="20">
        <f t="shared" si="127"/>
        <v>0</v>
      </c>
      <c r="X137" s="35">
        <v>11</v>
      </c>
      <c r="Y137" s="37">
        <f t="shared" si="117"/>
        <v>0</v>
      </c>
      <c r="Z137" s="43"/>
      <c r="AA137" s="43"/>
      <c r="AB137" s="35">
        <v>0.55000000000000004</v>
      </c>
      <c r="AC137" s="37">
        <f t="shared" si="118"/>
        <v>0</v>
      </c>
      <c r="AE137" s="44">
        <v>0.2</v>
      </c>
      <c r="AF137" s="44">
        <v>0.3</v>
      </c>
      <c r="AG137" s="44">
        <v>0.2</v>
      </c>
      <c r="AH137" s="44">
        <v>0.6</v>
      </c>
      <c r="AI137" s="44">
        <v>0.55000000000000004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</row>
    <row r="138" spans="2:40" s="19" customFormat="1" x14ac:dyDescent="0.25">
      <c r="B138" s="19">
        <v>12</v>
      </c>
      <c r="C138" s="20">
        <f t="shared" ref="C138:V138" si="128">IF(C43=1,COLUMN(C43)-2,0)</f>
        <v>0</v>
      </c>
      <c r="D138" s="20">
        <f t="shared" si="128"/>
        <v>0</v>
      </c>
      <c r="E138" s="20">
        <f t="shared" si="128"/>
        <v>0</v>
      </c>
      <c r="F138" s="20">
        <f t="shared" si="128"/>
        <v>0</v>
      </c>
      <c r="G138" s="20">
        <f t="shared" si="128"/>
        <v>0</v>
      </c>
      <c r="H138" s="20">
        <f t="shared" si="128"/>
        <v>0</v>
      </c>
      <c r="I138" s="20">
        <f t="shared" si="128"/>
        <v>0</v>
      </c>
      <c r="J138" s="20">
        <f t="shared" si="128"/>
        <v>0</v>
      </c>
      <c r="K138" s="20">
        <f t="shared" si="128"/>
        <v>0</v>
      </c>
      <c r="L138" s="20">
        <f t="shared" si="128"/>
        <v>0</v>
      </c>
      <c r="M138" s="20">
        <f t="shared" si="128"/>
        <v>11</v>
      </c>
      <c r="N138" s="20">
        <f t="shared" si="128"/>
        <v>0</v>
      </c>
      <c r="O138" s="20">
        <f t="shared" si="128"/>
        <v>0</v>
      </c>
      <c r="P138" s="20">
        <f t="shared" si="128"/>
        <v>0</v>
      </c>
      <c r="Q138" s="20">
        <f t="shared" si="128"/>
        <v>0</v>
      </c>
      <c r="R138" s="20">
        <f t="shared" si="128"/>
        <v>0</v>
      </c>
      <c r="S138" s="20">
        <f t="shared" si="128"/>
        <v>0</v>
      </c>
      <c r="T138" s="20">
        <f t="shared" si="128"/>
        <v>0</v>
      </c>
      <c r="U138" s="20">
        <f t="shared" si="128"/>
        <v>0</v>
      </c>
      <c r="V138" s="20">
        <f t="shared" si="128"/>
        <v>0</v>
      </c>
      <c r="X138" s="35">
        <v>12</v>
      </c>
      <c r="Y138" s="37">
        <f t="shared" si="117"/>
        <v>11</v>
      </c>
      <c r="Z138" s="43"/>
      <c r="AA138" s="43"/>
      <c r="AB138" s="35">
        <v>0.6</v>
      </c>
      <c r="AC138" s="37">
        <f t="shared" si="118"/>
        <v>0.55000000000000004</v>
      </c>
      <c r="AE138" s="44">
        <v>0.55000000000000004</v>
      </c>
      <c r="AF138" s="44">
        <v>0</v>
      </c>
      <c r="AG138" s="44">
        <v>0</v>
      </c>
      <c r="AH138" s="44">
        <v>0.95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</row>
    <row r="139" spans="2:40" s="19" customFormat="1" x14ac:dyDescent="0.25">
      <c r="B139" s="19">
        <v>13</v>
      </c>
      <c r="C139" s="20">
        <f t="shared" ref="C139:V139" si="129">IF(C44=1,COLUMN(C44)-2,0)</f>
        <v>0</v>
      </c>
      <c r="D139" s="20">
        <f t="shared" si="129"/>
        <v>0</v>
      </c>
      <c r="E139" s="20">
        <f t="shared" si="129"/>
        <v>0</v>
      </c>
      <c r="F139" s="20">
        <f t="shared" si="129"/>
        <v>0</v>
      </c>
      <c r="G139" s="20">
        <f t="shared" si="129"/>
        <v>0</v>
      </c>
      <c r="H139" s="20">
        <f t="shared" si="129"/>
        <v>0</v>
      </c>
      <c r="I139" s="20">
        <f t="shared" si="129"/>
        <v>0</v>
      </c>
      <c r="J139" s="20">
        <f t="shared" si="129"/>
        <v>0</v>
      </c>
      <c r="K139" s="20">
        <f t="shared" si="129"/>
        <v>0</v>
      </c>
      <c r="L139" s="20">
        <f t="shared" si="129"/>
        <v>0</v>
      </c>
      <c r="M139" s="20">
        <f t="shared" si="129"/>
        <v>0</v>
      </c>
      <c r="N139" s="20">
        <f t="shared" si="129"/>
        <v>0</v>
      </c>
      <c r="O139" s="20">
        <f t="shared" si="129"/>
        <v>13</v>
      </c>
      <c r="P139" s="20">
        <f t="shared" si="129"/>
        <v>0</v>
      </c>
      <c r="Q139" s="20">
        <f t="shared" si="129"/>
        <v>0</v>
      </c>
      <c r="R139" s="20">
        <f t="shared" si="129"/>
        <v>0</v>
      </c>
      <c r="S139" s="20">
        <f t="shared" si="129"/>
        <v>0</v>
      </c>
      <c r="T139" s="20">
        <f t="shared" si="129"/>
        <v>0</v>
      </c>
      <c r="U139" s="20">
        <f t="shared" si="129"/>
        <v>0</v>
      </c>
      <c r="V139" s="20">
        <f t="shared" si="129"/>
        <v>0</v>
      </c>
      <c r="X139" s="35">
        <v>13</v>
      </c>
      <c r="Y139" s="37">
        <f t="shared" si="117"/>
        <v>13</v>
      </c>
      <c r="Z139" s="43"/>
      <c r="AA139" s="43"/>
      <c r="AB139" s="35">
        <v>0.65</v>
      </c>
      <c r="AC139" s="37">
        <f t="shared" si="118"/>
        <v>0.65</v>
      </c>
      <c r="AE139" s="44">
        <v>0</v>
      </c>
      <c r="AF139" s="44">
        <v>0.7</v>
      </c>
      <c r="AG139" s="44">
        <v>0.15</v>
      </c>
      <c r="AH139" s="44">
        <v>0</v>
      </c>
      <c r="AI139" s="44">
        <v>1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</row>
    <row r="140" spans="2:40" s="19" customFormat="1" x14ac:dyDescent="0.25">
      <c r="B140" s="19">
        <v>14</v>
      </c>
      <c r="C140" s="20">
        <f t="shared" ref="C140:V140" si="130">IF(C45=1,COLUMN(C45)-2,0)</f>
        <v>0</v>
      </c>
      <c r="D140" s="20">
        <f t="shared" si="130"/>
        <v>0</v>
      </c>
      <c r="E140" s="20">
        <f t="shared" si="130"/>
        <v>0</v>
      </c>
      <c r="F140" s="20">
        <f t="shared" si="130"/>
        <v>0</v>
      </c>
      <c r="G140" s="20">
        <f t="shared" si="130"/>
        <v>0</v>
      </c>
      <c r="H140" s="20">
        <f t="shared" si="130"/>
        <v>0</v>
      </c>
      <c r="I140" s="20">
        <f t="shared" si="130"/>
        <v>0</v>
      </c>
      <c r="J140" s="20">
        <f t="shared" si="130"/>
        <v>0</v>
      </c>
      <c r="K140" s="20">
        <f t="shared" si="130"/>
        <v>0</v>
      </c>
      <c r="L140" s="20">
        <f t="shared" si="130"/>
        <v>10</v>
      </c>
      <c r="M140" s="20">
        <f t="shared" si="130"/>
        <v>0</v>
      </c>
      <c r="N140" s="20">
        <f t="shared" si="130"/>
        <v>0</v>
      </c>
      <c r="O140" s="20">
        <f t="shared" si="130"/>
        <v>0</v>
      </c>
      <c r="P140" s="20">
        <f t="shared" si="130"/>
        <v>0</v>
      </c>
      <c r="Q140" s="20">
        <f t="shared" si="130"/>
        <v>0</v>
      </c>
      <c r="R140" s="20">
        <f t="shared" si="130"/>
        <v>0</v>
      </c>
      <c r="S140" s="20">
        <f t="shared" si="130"/>
        <v>0</v>
      </c>
      <c r="T140" s="20">
        <f t="shared" si="130"/>
        <v>0</v>
      </c>
      <c r="U140" s="20">
        <f t="shared" si="130"/>
        <v>0</v>
      </c>
      <c r="V140" s="20">
        <f t="shared" si="130"/>
        <v>0</v>
      </c>
      <c r="X140" s="35">
        <v>14</v>
      </c>
      <c r="Y140" s="37">
        <f t="shared" si="117"/>
        <v>10</v>
      </c>
      <c r="Z140" s="43"/>
      <c r="AA140" s="43"/>
      <c r="AB140" s="35">
        <v>0.7</v>
      </c>
      <c r="AC140" s="37">
        <f t="shared" si="118"/>
        <v>0.5</v>
      </c>
      <c r="AE140" s="44">
        <v>0.95</v>
      </c>
      <c r="AF140" s="44">
        <v>0.75</v>
      </c>
      <c r="AG140" s="44">
        <v>0</v>
      </c>
      <c r="AH140" s="44">
        <v>0.15</v>
      </c>
      <c r="AI140" s="44">
        <v>0.25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</row>
    <row r="141" spans="2:40" s="19" customFormat="1" x14ac:dyDescent="0.25">
      <c r="B141" s="19">
        <v>15</v>
      </c>
      <c r="C141" s="20">
        <f t="shared" ref="C141:V141" si="131">IF(C46=1,COLUMN(C46)-2,0)</f>
        <v>0</v>
      </c>
      <c r="D141" s="20">
        <f t="shared" si="131"/>
        <v>0</v>
      </c>
      <c r="E141" s="20">
        <f t="shared" si="131"/>
        <v>0</v>
      </c>
      <c r="F141" s="20">
        <f t="shared" si="131"/>
        <v>0</v>
      </c>
      <c r="G141" s="20">
        <f t="shared" si="131"/>
        <v>0</v>
      </c>
      <c r="H141" s="20">
        <f t="shared" si="131"/>
        <v>0</v>
      </c>
      <c r="I141" s="20">
        <f t="shared" si="131"/>
        <v>0</v>
      </c>
      <c r="J141" s="20">
        <f t="shared" si="131"/>
        <v>0</v>
      </c>
      <c r="K141" s="20">
        <f t="shared" si="131"/>
        <v>0</v>
      </c>
      <c r="L141" s="20">
        <f t="shared" si="131"/>
        <v>0</v>
      </c>
      <c r="M141" s="20">
        <f t="shared" si="131"/>
        <v>0</v>
      </c>
      <c r="N141" s="20">
        <f t="shared" si="131"/>
        <v>0</v>
      </c>
      <c r="O141" s="20">
        <f t="shared" si="131"/>
        <v>0</v>
      </c>
      <c r="P141" s="20">
        <f t="shared" si="131"/>
        <v>0</v>
      </c>
      <c r="Q141" s="20">
        <f t="shared" si="131"/>
        <v>0</v>
      </c>
      <c r="R141" s="20">
        <f t="shared" si="131"/>
        <v>16</v>
      </c>
      <c r="S141" s="20">
        <f t="shared" si="131"/>
        <v>0</v>
      </c>
      <c r="T141" s="20">
        <f t="shared" si="131"/>
        <v>0</v>
      </c>
      <c r="U141" s="20">
        <f t="shared" si="131"/>
        <v>0</v>
      </c>
      <c r="V141" s="20">
        <f t="shared" si="131"/>
        <v>0</v>
      </c>
      <c r="X141" s="35">
        <v>15</v>
      </c>
      <c r="Y141" s="37">
        <f t="shared" si="117"/>
        <v>16</v>
      </c>
      <c r="Z141" s="43"/>
      <c r="AA141" s="43"/>
      <c r="AB141" s="35">
        <v>0.75</v>
      </c>
      <c r="AC141" s="37">
        <f t="shared" si="118"/>
        <v>0.8</v>
      </c>
      <c r="AE141" s="44">
        <v>0.05</v>
      </c>
      <c r="AF141" s="44">
        <v>0.35</v>
      </c>
      <c r="AG141" s="44">
        <v>0.8</v>
      </c>
      <c r="AH141" s="44">
        <v>1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</row>
    <row r="142" spans="2:40" s="19" customFormat="1" x14ac:dyDescent="0.25">
      <c r="B142" s="19">
        <v>16</v>
      </c>
      <c r="C142" s="20">
        <f t="shared" ref="C142:V142" si="132">IF(C47=1,COLUMN(C47)-2,0)</f>
        <v>0</v>
      </c>
      <c r="D142" s="20">
        <f t="shared" si="132"/>
        <v>0</v>
      </c>
      <c r="E142" s="20">
        <f t="shared" si="132"/>
        <v>0</v>
      </c>
      <c r="F142" s="20">
        <f t="shared" si="132"/>
        <v>0</v>
      </c>
      <c r="G142" s="20">
        <f t="shared" si="132"/>
        <v>0</v>
      </c>
      <c r="H142" s="20">
        <f t="shared" si="132"/>
        <v>6</v>
      </c>
      <c r="I142" s="20">
        <f t="shared" si="132"/>
        <v>0</v>
      </c>
      <c r="J142" s="20">
        <f t="shared" si="132"/>
        <v>0</v>
      </c>
      <c r="K142" s="20">
        <f t="shared" si="132"/>
        <v>0</v>
      </c>
      <c r="L142" s="20">
        <f t="shared" si="132"/>
        <v>0</v>
      </c>
      <c r="M142" s="20">
        <f t="shared" si="132"/>
        <v>0</v>
      </c>
      <c r="N142" s="20">
        <f t="shared" si="132"/>
        <v>0</v>
      </c>
      <c r="O142" s="20">
        <f t="shared" si="132"/>
        <v>0</v>
      </c>
      <c r="P142" s="20">
        <f t="shared" si="132"/>
        <v>0</v>
      </c>
      <c r="Q142" s="20">
        <f t="shared" si="132"/>
        <v>0</v>
      </c>
      <c r="R142" s="20">
        <f t="shared" si="132"/>
        <v>0</v>
      </c>
      <c r="S142" s="20">
        <f t="shared" si="132"/>
        <v>0</v>
      </c>
      <c r="T142" s="20">
        <f t="shared" si="132"/>
        <v>0</v>
      </c>
      <c r="U142" s="20">
        <f t="shared" si="132"/>
        <v>0</v>
      </c>
      <c r="V142" s="20">
        <f t="shared" si="132"/>
        <v>0</v>
      </c>
      <c r="X142" s="35">
        <v>16</v>
      </c>
      <c r="Y142" s="37">
        <f t="shared" si="117"/>
        <v>6</v>
      </c>
      <c r="Z142" s="43"/>
      <c r="AA142" s="43"/>
      <c r="AB142" s="35">
        <v>0.8</v>
      </c>
      <c r="AC142" s="37">
        <f t="shared" si="118"/>
        <v>0.3</v>
      </c>
      <c r="AE142" s="44">
        <v>0</v>
      </c>
      <c r="AF142" s="44">
        <v>0</v>
      </c>
      <c r="AG142" s="44">
        <v>0</v>
      </c>
      <c r="AH142" s="44">
        <v>0.2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</row>
    <row r="143" spans="2:40" s="19" customFormat="1" x14ac:dyDescent="0.25">
      <c r="B143" s="19">
        <v>17</v>
      </c>
      <c r="C143" s="20">
        <f t="shared" ref="C143:V143" si="133">IF(C48=1,COLUMN(C48)-2,0)</f>
        <v>0</v>
      </c>
      <c r="D143" s="20">
        <f t="shared" si="133"/>
        <v>0</v>
      </c>
      <c r="E143" s="20">
        <f t="shared" si="133"/>
        <v>0</v>
      </c>
      <c r="F143" s="20">
        <f t="shared" si="133"/>
        <v>0</v>
      </c>
      <c r="G143" s="20">
        <f t="shared" si="133"/>
        <v>5</v>
      </c>
      <c r="H143" s="20">
        <f t="shared" si="133"/>
        <v>0</v>
      </c>
      <c r="I143" s="20">
        <f t="shared" si="133"/>
        <v>0</v>
      </c>
      <c r="J143" s="20">
        <f t="shared" si="133"/>
        <v>0</v>
      </c>
      <c r="K143" s="20">
        <f t="shared" si="133"/>
        <v>0</v>
      </c>
      <c r="L143" s="20">
        <f t="shared" si="133"/>
        <v>0</v>
      </c>
      <c r="M143" s="20">
        <f t="shared" si="133"/>
        <v>0</v>
      </c>
      <c r="N143" s="20">
        <f t="shared" si="133"/>
        <v>0</v>
      </c>
      <c r="O143" s="20">
        <f t="shared" si="133"/>
        <v>0</v>
      </c>
      <c r="P143" s="20">
        <f t="shared" si="133"/>
        <v>0</v>
      </c>
      <c r="Q143" s="20">
        <f t="shared" si="133"/>
        <v>0</v>
      </c>
      <c r="R143" s="20">
        <f t="shared" si="133"/>
        <v>0</v>
      </c>
      <c r="S143" s="20">
        <f t="shared" si="133"/>
        <v>0</v>
      </c>
      <c r="T143" s="20">
        <f t="shared" si="133"/>
        <v>0</v>
      </c>
      <c r="U143" s="20">
        <f t="shared" si="133"/>
        <v>0</v>
      </c>
      <c r="V143" s="20">
        <f t="shared" si="133"/>
        <v>0</v>
      </c>
      <c r="X143" s="35">
        <v>17</v>
      </c>
      <c r="Y143" s="37">
        <f t="shared" si="117"/>
        <v>5</v>
      </c>
      <c r="Z143" s="43"/>
      <c r="AA143" s="43"/>
      <c r="AB143" s="35">
        <v>0.85</v>
      </c>
      <c r="AC143" s="37">
        <f t="shared" si="118"/>
        <v>0.25</v>
      </c>
      <c r="AE143" s="44">
        <v>0.5</v>
      </c>
      <c r="AF143" s="44">
        <v>0</v>
      </c>
      <c r="AG143" s="44">
        <v>0</v>
      </c>
      <c r="AH143" s="44">
        <v>0.35</v>
      </c>
      <c r="AI143" s="44">
        <v>0.15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</row>
    <row r="144" spans="2:40" s="19" customFormat="1" x14ac:dyDescent="0.25">
      <c r="B144" s="19">
        <v>18</v>
      </c>
      <c r="C144" s="20">
        <f t="shared" ref="C144:V144" si="134">IF(C49=1,COLUMN(C49)-2,0)</f>
        <v>0</v>
      </c>
      <c r="D144" s="20">
        <f t="shared" si="134"/>
        <v>0</v>
      </c>
      <c r="E144" s="20">
        <f t="shared" si="134"/>
        <v>0</v>
      </c>
      <c r="F144" s="20">
        <f t="shared" si="134"/>
        <v>0</v>
      </c>
      <c r="G144" s="20">
        <f t="shared" si="134"/>
        <v>0</v>
      </c>
      <c r="H144" s="20">
        <f t="shared" si="134"/>
        <v>0</v>
      </c>
      <c r="I144" s="20">
        <f t="shared" si="134"/>
        <v>0</v>
      </c>
      <c r="J144" s="20">
        <f t="shared" si="134"/>
        <v>0</v>
      </c>
      <c r="K144" s="20">
        <f t="shared" si="134"/>
        <v>0</v>
      </c>
      <c r="L144" s="20">
        <f t="shared" si="134"/>
        <v>0</v>
      </c>
      <c r="M144" s="20">
        <f t="shared" si="134"/>
        <v>0</v>
      </c>
      <c r="N144" s="20">
        <f t="shared" si="134"/>
        <v>0</v>
      </c>
      <c r="O144" s="20">
        <f t="shared" si="134"/>
        <v>0</v>
      </c>
      <c r="P144" s="20">
        <f t="shared" si="134"/>
        <v>0</v>
      </c>
      <c r="Q144" s="20">
        <f t="shared" si="134"/>
        <v>0</v>
      </c>
      <c r="R144" s="20">
        <f t="shared" si="134"/>
        <v>0</v>
      </c>
      <c r="S144" s="20">
        <f t="shared" si="134"/>
        <v>0</v>
      </c>
      <c r="T144" s="20">
        <f t="shared" si="134"/>
        <v>0</v>
      </c>
      <c r="U144" s="20">
        <f t="shared" si="134"/>
        <v>0</v>
      </c>
      <c r="V144" s="20">
        <f t="shared" si="134"/>
        <v>0</v>
      </c>
      <c r="X144" s="35">
        <v>18</v>
      </c>
      <c r="Y144" s="37">
        <f t="shared" si="117"/>
        <v>0</v>
      </c>
      <c r="Z144" s="43"/>
      <c r="AA144" s="43"/>
      <c r="AB144" s="35">
        <v>0.9</v>
      </c>
      <c r="AC144" s="37">
        <f t="shared" si="118"/>
        <v>0</v>
      </c>
      <c r="AE144" s="44">
        <v>0</v>
      </c>
      <c r="AF144" s="44">
        <v>0.8</v>
      </c>
      <c r="AG144" s="44">
        <v>0.05</v>
      </c>
      <c r="AH144" s="44">
        <v>0.45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</row>
    <row r="145" spans="2:40" s="19" customFormat="1" x14ac:dyDescent="0.25">
      <c r="B145" s="19">
        <v>19</v>
      </c>
      <c r="C145" s="20">
        <f t="shared" ref="C145:V145" si="135">IF(C50=1,COLUMN(C50)-2,0)</f>
        <v>0</v>
      </c>
      <c r="D145" s="20">
        <f t="shared" si="135"/>
        <v>0</v>
      </c>
      <c r="E145" s="20">
        <f t="shared" si="135"/>
        <v>0</v>
      </c>
      <c r="F145" s="20">
        <f t="shared" si="135"/>
        <v>0</v>
      </c>
      <c r="G145" s="20">
        <f t="shared" si="135"/>
        <v>0</v>
      </c>
      <c r="H145" s="20">
        <f t="shared" si="135"/>
        <v>0</v>
      </c>
      <c r="I145" s="20">
        <f t="shared" si="135"/>
        <v>0</v>
      </c>
      <c r="J145" s="20">
        <f t="shared" si="135"/>
        <v>0</v>
      </c>
      <c r="K145" s="20">
        <f t="shared" si="135"/>
        <v>0</v>
      </c>
      <c r="L145" s="20">
        <f t="shared" si="135"/>
        <v>0</v>
      </c>
      <c r="M145" s="20">
        <f t="shared" si="135"/>
        <v>0</v>
      </c>
      <c r="N145" s="20">
        <f t="shared" si="135"/>
        <v>0</v>
      </c>
      <c r="O145" s="20">
        <f t="shared" si="135"/>
        <v>0</v>
      </c>
      <c r="P145" s="20">
        <f t="shared" si="135"/>
        <v>14</v>
      </c>
      <c r="Q145" s="20">
        <f t="shared" si="135"/>
        <v>0</v>
      </c>
      <c r="R145" s="20">
        <f t="shared" si="135"/>
        <v>0</v>
      </c>
      <c r="S145" s="20">
        <f t="shared" si="135"/>
        <v>0</v>
      </c>
      <c r="T145" s="20">
        <f t="shared" si="135"/>
        <v>0</v>
      </c>
      <c r="U145" s="20">
        <f t="shared" si="135"/>
        <v>0</v>
      </c>
      <c r="V145" s="20">
        <f t="shared" si="135"/>
        <v>0</v>
      </c>
      <c r="X145" s="35">
        <v>19</v>
      </c>
      <c r="Y145" s="37">
        <f t="shared" si="117"/>
        <v>14</v>
      </c>
      <c r="Z145" s="43"/>
      <c r="AA145" s="43"/>
      <c r="AB145" s="35">
        <v>0.95</v>
      </c>
      <c r="AC145" s="37">
        <f t="shared" si="118"/>
        <v>0.7</v>
      </c>
      <c r="AE145" s="44">
        <v>0.45</v>
      </c>
      <c r="AF145" s="44">
        <v>0</v>
      </c>
      <c r="AG145" s="44">
        <v>0.6</v>
      </c>
      <c r="AH145" s="44">
        <v>0</v>
      </c>
      <c r="AI145" s="44">
        <v>0.45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</row>
    <row r="146" spans="2:40" s="19" customFormat="1" x14ac:dyDescent="0.25">
      <c r="B146" s="19">
        <v>20</v>
      </c>
      <c r="C146" s="20">
        <f t="shared" ref="C146:V146" si="136">IF(C51=1,COLUMN(C51)-2,0)</f>
        <v>0</v>
      </c>
      <c r="D146" s="20">
        <f t="shared" si="136"/>
        <v>0</v>
      </c>
      <c r="E146" s="20">
        <f t="shared" si="136"/>
        <v>0</v>
      </c>
      <c r="F146" s="20">
        <f t="shared" si="136"/>
        <v>0</v>
      </c>
      <c r="G146" s="20">
        <f t="shared" si="136"/>
        <v>0</v>
      </c>
      <c r="H146" s="20">
        <f t="shared" si="136"/>
        <v>0</v>
      </c>
      <c r="I146" s="20">
        <f t="shared" si="136"/>
        <v>0</v>
      </c>
      <c r="J146" s="20">
        <f t="shared" si="136"/>
        <v>0</v>
      </c>
      <c r="K146" s="20">
        <f t="shared" si="136"/>
        <v>0</v>
      </c>
      <c r="L146" s="20">
        <f t="shared" si="136"/>
        <v>0</v>
      </c>
      <c r="M146" s="20">
        <f t="shared" si="136"/>
        <v>0</v>
      </c>
      <c r="N146" s="20">
        <f t="shared" si="136"/>
        <v>0</v>
      </c>
      <c r="O146" s="20">
        <f t="shared" si="136"/>
        <v>0</v>
      </c>
      <c r="P146" s="20">
        <f t="shared" si="136"/>
        <v>0</v>
      </c>
      <c r="Q146" s="20">
        <f t="shared" si="136"/>
        <v>0</v>
      </c>
      <c r="R146" s="20">
        <f t="shared" si="136"/>
        <v>0</v>
      </c>
      <c r="S146" s="20">
        <f t="shared" si="136"/>
        <v>0</v>
      </c>
      <c r="T146" s="20">
        <f t="shared" si="136"/>
        <v>18</v>
      </c>
      <c r="U146" s="20">
        <f t="shared" si="136"/>
        <v>0</v>
      </c>
      <c r="V146" s="20">
        <f t="shared" si="136"/>
        <v>0</v>
      </c>
      <c r="X146" s="45">
        <v>20</v>
      </c>
      <c r="Y146" s="41">
        <f t="shared" si="117"/>
        <v>18</v>
      </c>
      <c r="Z146" s="43"/>
      <c r="AA146" s="43"/>
      <c r="AB146" s="45">
        <v>1</v>
      </c>
      <c r="AC146" s="41">
        <f t="shared" si="118"/>
        <v>0.9</v>
      </c>
      <c r="AE146" s="44">
        <v>0.9</v>
      </c>
      <c r="AF146" s="44">
        <v>0.9</v>
      </c>
      <c r="AG146" s="44">
        <v>0.9</v>
      </c>
      <c r="AH146" s="44">
        <v>0.9</v>
      </c>
      <c r="AI146" s="44">
        <v>0.9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</row>
    <row r="147" spans="2:40" x14ac:dyDescent="0.25">
      <c r="AD147" s="20" t="s">
        <v>8</v>
      </c>
      <c r="AE147" s="36">
        <v>14</v>
      </c>
      <c r="AF147" s="36">
        <v>14</v>
      </c>
      <c r="AG147" s="36">
        <v>14</v>
      </c>
      <c r="AH147" s="36">
        <v>14</v>
      </c>
      <c r="AI147" s="36">
        <v>14</v>
      </c>
      <c r="AJ147" s="36">
        <v>0</v>
      </c>
      <c r="AK147" s="36">
        <v>0</v>
      </c>
      <c r="AL147" s="36">
        <v>0</v>
      </c>
      <c r="AM147" s="36">
        <v>0</v>
      </c>
      <c r="AN147" s="36">
        <v>0</v>
      </c>
    </row>
    <row r="148" spans="2:40" x14ac:dyDescent="0.25">
      <c r="AD148" s="20" t="s">
        <v>2</v>
      </c>
      <c r="AE148" s="24">
        <v>1.0324285714285715</v>
      </c>
      <c r="AF148" s="24">
        <v>1.008</v>
      </c>
      <c r="AG148" s="24">
        <v>1.1140000000000001</v>
      </c>
      <c r="AH148" s="24">
        <v>1.052</v>
      </c>
      <c r="AI148" s="24">
        <v>1</v>
      </c>
      <c r="AJ148" s="24">
        <v>0</v>
      </c>
      <c r="AK148" s="24">
        <v>0</v>
      </c>
      <c r="AL148" s="24">
        <v>0</v>
      </c>
      <c r="AM148" s="24">
        <v>0</v>
      </c>
      <c r="AN148" s="24">
        <v>0</v>
      </c>
    </row>
    <row r="149" spans="2:40" x14ac:dyDescent="0.25">
      <c r="AD149" s="20" t="s">
        <v>17</v>
      </c>
      <c r="AE149" s="36">
        <v>1.9323433739543807</v>
      </c>
      <c r="AF149" s="36">
        <v>1.946242540941558</v>
      </c>
      <c r="AG149" s="36">
        <v>1.8390669796205861</v>
      </c>
      <c r="AH149" s="36">
        <v>1.3912917934811431</v>
      </c>
      <c r="AI149" s="36">
        <v>2.2526158619620809</v>
      </c>
      <c r="AJ149" s="36">
        <v>0</v>
      </c>
      <c r="AK149" s="36">
        <v>0</v>
      </c>
      <c r="AL149" s="36">
        <v>0</v>
      </c>
      <c r="AM149" s="36">
        <v>0</v>
      </c>
      <c r="AN149" s="36">
        <v>0</v>
      </c>
    </row>
  </sheetData>
  <phoneticPr fontId="2" type="noConversion"/>
  <conditionalFormatting sqref="C9:V28">
    <cfRule type="colorScale" priority="18">
      <colorScale>
        <cfvo type="min"/>
        <cfvo type="max"/>
        <color rgb="FF92D050"/>
        <color rgb="FFFF00FF"/>
      </colorScale>
    </cfRule>
  </conditionalFormatting>
  <conditionalFormatting sqref="C32:V51">
    <cfRule type="colorScale" priority="17">
      <colorScale>
        <cfvo type="min"/>
        <cfvo type="max"/>
        <color rgb="FF00B0F0"/>
        <color rgb="FFFFC000"/>
      </colorScale>
    </cfRule>
  </conditionalFormatting>
  <conditionalFormatting sqref="C56:V75">
    <cfRule type="colorScale" priority="16">
      <colorScale>
        <cfvo type="min"/>
        <cfvo type="max"/>
        <color rgb="FF92D050"/>
        <color rgb="FFFF00FF"/>
      </colorScale>
    </cfRule>
  </conditionalFormatting>
  <conditionalFormatting sqref="C80:V99">
    <cfRule type="colorScale" priority="15">
      <colorScale>
        <cfvo type="min"/>
        <cfvo type="max"/>
        <color rgb="FFFFC000"/>
        <color rgb="FFFF00FF"/>
      </colorScale>
    </cfRule>
  </conditionalFormatting>
  <conditionalFormatting sqref="Y32:AR51">
    <cfRule type="cellIs" dxfId="2" priority="13" operator="equal">
      <formula>1</formula>
    </cfRule>
  </conditionalFormatting>
  <conditionalFormatting sqref="Y56:AR75">
    <cfRule type="colorScale" priority="12">
      <colorScale>
        <cfvo type="min"/>
        <cfvo type="max"/>
        <color rgb="FF92D050"/>
        <color rgb="FFFF00FF"/>
      </colorScale>
    </cfRule>
  </conditionalFormatting>
  <conditionalFormatting sqref="Y80:AR99">
    <cfRule type="colorScale" priority="11">
      <colorScale>
        <cfvo type="min"/>
        <cfvo type="max"/>
        <color rgb="FFFFC000"/>
        <color rgb="FFFF00FF"/>
      </colorScale>
    </cfRule>
  </conditionalFormatting>
  <conditionalFormatting sqref="C104:V123">
    <cfRule type="colorScale" priority="10">
      <colorScale>
        <cfvo type="min"/>
        <cfvo type="max"/>
        <color rgb="FFFFC000"/>
        <color rgb="FFFF00FF"/>
      </colorScale>
    </cfRule>
  </conditionalFormatting>
  <conditionalFormatting sqref="AE127:AN146">
    <cfRule type="colorScale" priority="1">
      <colorScale>
        <cfvo type="min"/>
        <cfvo type="max"/>
        <color rgb="FFFFC000"/>
        <color rgb="FFFF00FF"/>
      </colorScale>
    </cfRule>
  </conditionalFormatting>
  <conditionalFormatting sqref="C127:V146">
    <cfRule type="cellIs" dxfId="1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>
                  <from>
                    <xdr:col>25</xdr:col>
                    <xdr:colOff>361950</xdr:colOff>
                    <xdr:row>11</xdr:row>
                    <xdr:rowOff>12700</xdr:rowOff>
                  </from>
                  <to>
                    <xdr:col>26</xdr:col>
                    <xdr:colOff>406400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inimizeEnergy">
                <anchor moveWithCells="1">
                  <from>
                    <xdr:col>25</xdr:col>
                    <xdr:colOff>349250</xdr:colOff>
                    <xdr:row>19</xdr:row>
                    <xdr:rowOff>107950</xdr:rowOff>
                  </from>
                  <to>
                    <xdr:col>27</xdr:col>
                    <xdr:colOff>25400</xdr:colOff>
                    <xdr:row>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inimizeEnergy">
                <anchor moveWithCells="1">
                  <from>
                    <xdr:col>25</xdr:col>
                    <xdr:colOff>349250</xdr:colOff>
                    <xdr:row>112</xdr:row>
                    <xdr:rowOff>107950</xdr:rowOff>
                  </from>
                  <to>
                    <xdr:col>27</xdr:col>
                    <xdr:colOff>25400</xdr:colOff>
                    <xdr:row>117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est">
                <anchor moveWithCells="1">
                  <from>
                    <xdr:col>27</xdr:col>
                    <xdr:colOff>349250</xdr:colOff>
                    <xdr:row>112</xdr:row>
                    <xdr:rowOff>120650</xdr:rowOff>
                  </from>
                  <to>
                    <xdr:col>29</xdr:col>
                    <xdr:colOff>298450</xdr:colOff>
                    <xdr:row>117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creensaver">
                <anchor moveWithCells="1">
                  <from>
                    <xdr:col>37</xdr:col>
                    <xdr:colOff>292100</xdr:colOff>
                    <xdr:row>112</xdr:row>
                    <xdr:rowOff>127000</xdr:rowOff>
                  </from>
                  <to>
                    <xdr:col>40</xdr:col>
                    <xdr:colOff>25400</xdr:colOff>
                    <xdr:row>118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creensaver">
                <anchor moveWithCells="1">
                  <from>
                    <xdr:col>36</xdr:col>
                    <xdr:colOff>292100</xdr:colOff>
                    <xdr:row>8</xdr:row>
                    <xdr:rowOff>127000</xdr:rowOff>
                  </from>
                  <to>
                    <xdr:col>39</xdr:col>
                    <xdr:colOff>25400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est">
                <anchor moveWithCells="1">
                  <from>
                    <xdr:col>28</xdr:col>
                    <xdr:colOff>349250</xdr:colOff>
                    <xdr:row>160</xdr:row>
                    <xdr:rowOff>120650</xdr:rowOff>
                  </from>
                  <to>
                    <xdr:col>30</xdr:col>
                    <xdr:colOff>298450</xdr:colOff>
                    <xdr:row>166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creensaver">
                <anchor moveWithCells="1">
                  <from>
                    <xdr:col>32</xdr:col>
                    <xdr:colOff>120650</xdr:colOff>
                    <xdr:row>160</xdr:row>
                    <xdr:rowOff>88900</xdr:rowOff>
                  </from>
                  <to>
                    <xdr:col>34</xdr:col>
                    <xdr:colOff>215900</xdr:colOff>
                    <xdr:row>166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7F7EC-6813-47CE-B9D6-5301D7D99A0C}">
  <sheetPr codeName="Sheet2"/>
  <dimension ref="D3:AH60"/>
  <sheetViews>
    <sheetView showGridLines="0" tabSelected="1" workbookViewId="0">
      <selection activeCell="AM40" sqref="AM40"/>
    </sheetView>
  </sheetViews>
  <sheetFormatPr defaultColWidth="3" defaultRowHeight="10.5" x14ac:dyDescent="0.25"/>
  <cols>
    <col min="1" max="5" width="3" style="3"/>
    <col min="6" max="6" width="4.7265625" style="3" customWidth="1"/>
    <col min="7" max="25" width="4.7265625" style="3" bestFit="1" customWidth="1"/>
    <col min="26" max="29" width="3" style="3"/>
    <col min="30" max="30" width="8.6328125" style="3" bestFit="1" customWidth="1"/>
    <col min="31" max="31" width="5.36328125" style="3" customWidth="1"/>
    <col min="32" max="32" width="10.08984375" style="3" customWidth="1"/>
    <col min="33" max="33" width="8.7265625" style="3" customWidth="1"/>
    <col min="34" max="34" width="10.36328125" style="3" customWidth="1"/>
    <col min="35" max="16384" width="3" style="3"/>
  </cols>
  <sheetData>
    <row r="3" spans="4:29" ht="13" x14ac:dyDescent="0.3">
      <c r="D3" s="6" t="s">
        <v>13</v>
      </c>
      <c r="E3" s="6"/>
      <c r="F3" s="7">
        <f>NN!C7</f>
        <v>14</v>
      </c>
      <c r="G3" s="7">
        <f>NN!D7</f>
        <v>15</v>
      </c>
      <c r="H3" s="7">
        <f>NN!E7</f>
        <v>16</v>
      </c>
      <c r="I3" s="7">
        <f>NN!F7</f>
        <v>2</v>
      </c>
      <c r="J3" s="7">
        <f>NN!G7</f>
        <v>2</v>
      </c>
      <c r="K3" s="7">
        <f>NN!H7</f>
        <v>4</v>
      </c>
      <c r="L3" s="7">
        <f>NN!I7</f>
        <v>1</v>
      </c>
      <c r="M3" s="7">
        <f>NN!J7</f>
        <v>8</v>
      </c>
      <c r="N3" s="7">
        <f>NN!K7</f>
        <v>9</v>
      </c>
      <c r="O3" s="7">
        <f>NN!L7</f>
        <v>13</v>
      </c>
      <c r="P3" s="7">
        <f>NN!M7</f>
        <v>3</v>
      </c>
      <c r="Q3" s="7">
        <f>NN!N7</f>
        <v>13</v>
      </c>
      <c r="R3" s="7">
        <f>NN!O7</f>
        <v>12</v>
      </c>
      <c r="S3" s="7">
        <f>NN!P7</f>
        <v>11</v>
      </c>
      <c r="T3" s="7">
        <f>NN!Q7</f>
        <v>19</v>
      </c>
      <c r="U3" s="7">
        <f>NN!R7</f>
        <v>6</v>
      </c>
      <c r="V3" s="7">
        <f>NN!S7</f>
        <v>2</v>
      </c>
      <c r="W3" s="7">
        <f>NN!T7</f>
        <v>17</v>
      </c>
      <c r="X3" s="7">
        <f>NN!U7</f>
        <v>2</v>
      </c>
      <c r="Y3" s="7">
        <f>NN!V7</f>
        <v>2</v>
      </c>
      <c r="Z3" s="1"/>
      <c r="AA3" s="1"/>
      <c r="AB3" s="1"/>
      <c r="AC3" s="1"/>
    </row>
    <row r="4" spans="4:29" ht="13" x14ac:dyDescent="0.3">
      <c r="D4" s="6"/>
      <c r="E4" s="6" t="s">
        <v>14</v>
      </c>
      <c r="F4" s="7">
        <f>NN!C8</f>
        <v>14</v>
      </c>
      <c r="G4" s="7">
        <f>NN!D8</f>
        <v>5</v>
      </c>
      <c r="H4" s="7">
        <f>NN!E8</f>
        <v>20</v>
      </c>
      <c r="I4" s="7">
        <f>NN!F8</f>
        <v>8</v>
      </c>
      <c r="J4" s="7">
        <f>NN!G8</f>
        <v>4</v>
      </c>
      <c r="K4" s="7">
        <f>NN!H8</f>
        <v>6</v>
      </c>
      <c r="L4" s="7">
        <f>NN!I8</f>
        <v>16</v>
      </c>
      <c r="M4" s="7">
        <f>NN!J8</f>
        <v>1</v>
      </c>
      <c r="N4" s="7">
        <f>NN!K8</f>
        <v>6</v>
      </c>
      <c r="O4" s="7">
        <f>NN!L8</f>
        <v>3</v>
      </c>
      <c r="P4" s="7">
        <f>NN!M8</f>
        <v>10</v>
      </c>
      <c r="Q4" s="7">
        <f>NN!N8</f>
        <v>14</v>
      </c>
      <c r="R4" s="7">
        <f>NN!O8</f>
        <v>16</v>
      </c>
      <c r="S4" s="7">
        <f>NN!P8</f>
        <v>14</v>
      </c>
      <c r="T4" s="7">
        <f>NN!Q8</f>
        <v>14</v>
      </c>
      <c r="U4" s="7">
        <f>NN!R8</f>
        <v>2</v>
      </c>
      <c r="V4" s="7">
        <f>NN!S8</f>
        <v>14</v>
      </c>
      <c r="W4" s="7">
        <f>NN!T8</f>
        <v>9</v>
      </c>
      <c r="X4" s="7">
        <f>NN!U8</f>
        <v>10</v>
      </c>
      <c r="Y4" s="7">
        <f>NN!V8</f>
        <v>9</v>
      </c>
      <c r="Z4" s="1"/>
      <c r="AA4" s="1"/>
      <c r="AB4" s="1"/>
      <c r="AC4" s="1"/>
    </row>
    <row r="5" spans="4:29" x14ac:dyDescent="0.25">
      <c r="D5" s="7">
        <f>NN!A9</f>
        <v>14</v>
      </c>
      <c r="E5" s="7">
        <f>NN!B9</f>
        <v>14</v>
      </c>
      <c r="F5" s="18">
        <f>NN!C56</f>
        <v>18.07738814093921</v>
      </c>
      <c r="G5" s="18">
        <f>NN!D56</f>
        <v>18.09132391492739</v>
      </c>
      <c r="H5" s="18">
        <f>NN!E56</f>
        <v>18.047046712939689</v>
      </c>
      <c r="I5" s="18">
        <f>NN!F56</f>
        <v>18.166831785541621</v>
      </c>
      <c r="J5" s="18">
        <f>NN!G56</f>
        <v>18.144618398950044</v>
      </c>
      <c r="K5" s="18">
        <f>NN!H56</f>
        <v>18.259384613142185</v>
      </c>
      <c r="L5" s="18">
        <f>NN!I56</f>
        <v>18.075170172833236</v>
      </c>
      <c r="M5" s="18">
        <f>NN!J56</f>
        <v>18.127756890005692</v>
      </c>
      <c r="N5" s="18">
        <f>NN!K56</f>
        <v>18.259384613142185</v>
      </c>
      <c r="O5" s="18">
        <f>NN!L56</f>
        <v>18.104417171125782</v>
      </c>
      <c r="P5" s="18">
        <f>NN!M56</f>
        <v>18.166831785541621</v>
      </c>
      <c r="Q5" s="18">
        <f>NN!N56</f>
        <v>18.08333582289022</v>
      </c>
      <c r="R5" s="18">
        <f>NN!O56</f>
        <v>18.075170172833236</v>
      </c>
      <c r="S5" s="18">
        <f>NN!P56</f>
        <v>18.095848476022656</v>
      </c>
      <c r="T5" s="18">
        <f>NN!Q56</f>
        <v>18.053817689437494</v>
      </c>
      <c r="U5" s="18">
        <f>NN!R56</f>
        <v>18.154548245501754</v>
      </c>
      <c r="V5" s="18">
        <f>NN!S56</f>
        <v>18.095848476022656</v>
      </c>
      <c r="W5" s="18">
        <f>NN!T56</f>
        <v>18.074123562462958</v>
      </c>
      <c r="X5" s="18">
        <f>NN!U56</f>
        <v>18.144618398950044</v>
      </c>
      <c r="Y5" s="18">
        <f>NN!V56</f>
        <v>18.157364069470265</v>
      </c>
      <c r="Z5" s="1"/>
      <c r="AA5" s="1"/>
      <c r="AB5" s="1"/>
      <c r="AC5" s="1"/>
    </row>
    <row r="6" spans="4:29" x14ac:dyDescent="0.25">
      <c r="D6" s="7">
        <f>NN!A10</f>
        <v>15</v>
      </c>
      <c r="E6" s="7">
        <f>NN!B10</f>
        <v>5</v>
      </c>
      <c r="F6" s="18">
        <f>NN!C57</f>
        <v>18.169478739805719</v>
      </c>
      <c r="G6" s="18">
        <f>NN!D57</f>
        <v>18.169478739805719</v>
      </c>
      <c r="H6" s="18">
        <f>NN!E57</f>
        <v>18.074729291511318</v>
      </c>
      <c r="I6" s="18">
        <f>NN!F57</f>
        <v>18.062156687695325</v>
      </c>
      <c r="J6" s="18">
        <f>NN!G57</f>
        <v>18.056800540613192</v>
      </c>
      <c r="K6" s="18">
        <f>NN!H57</f>
        <v>18.071435394090678</v>
      </c>
      <c r="L6" s="18">
        <f>NN!I57</f>
        <v>18.051136636910449</v>
      </c>
      <c r="M6" s="18">
        <f>NN!J57</f>
        <v>18.074038100637647</v>
      </c>
      <c r="N6" s="18">
        <f>NN!K57</f>
        <v>18.121564257612452</v>
      </c>
      <c r="O6" s="18">
        <f>NN!L57</f>
        <v>18.118935383331497</v>
      </c>
      <c r="P6" s="18">
        <f>NN!M57</f>
        <v>18.068501956580711</v>
      </c>
      <c r="Q6" s="18">
        <f>NN!N57</f>
        <v>18.162683823466892</v>
      </c>
      <c r="R6" s="18">
        <f>NN!O57</f>
        <v>18.114133410436519</v>
      </c>
      <c r="S6" s="18">
        <f>NN!P57</f>
        <v>18.137805623031607</v>
      </c>
      <c r="T6" s="18">
        <f>NN!Q57</f>
        <v>18.124367910360764</v>
      </c>
      <c r="U6" s="18">
        <f>NN!R57</f>
        <v>18.069636401502834</v>
      </c>
      <c r="V6" s="18">
        <f>NN!S57</f>
        <v>18.058573310369638</v>
      </c>
      <c r="W6" s="18">
        <f>NN!T57</f>
        <v>18.270300475261678</v>
      </c>
      <c r="X6" s="18">
        <f>NN!U57</f>
        <v>18.062590695473013</v>
      </c>
      <c r="Y6" s="18">
        <f>NN!V57</f>
        <v>18.062590695473013</v>
      </c>
      <c r="Z6" s="1"/>
      <c r="AA6" s="1"/>
      <c r="AB6" s="1"/>
      <c r="AC6" s="1"/>
    </row>
    <row r="7" spans="4:29" x14ac:dyDescent="0.25">
      <c r="D7" s="7">
        <f>NN!A11</f>
        <v>16</v>
      </c>
      <c r="E7" s="7">
        <f>NN!B11</f>
        <v>20</v>
      </c>
      <c r="F7" s="18">
        <f>NN!C58</f>
        <v>18.112470771670722</v>
      </c>
      <c r="G7" s="18">
        <f>NN!D58</f>
        <v>18.061002400809866</v>
      </c>
      <c r="H7" s="18">
        <f>NN!E58</f>
        <v>18.077101239437969</v>
      </c>
      <c r="I7" s="18">
        <f>NN!F58</f>
        <v>18.092712870585707</v>
      </c>
      <c r="J7" s="18">
        <f>NN!G58</f>
        <v>18.065006228389318</v>
      </c>
      <c r="K7" s="18">
        <f>NN!H58</f>
        <v>18.083929102509686</v>
      </c>
      <c r="L7" s="18">
        <f>NN!I58</f>
        <v>18.129759276635266</v>
      </c>
      <c r="M7" s="18">
        <f>NN!J58</f>
        <v>18.05507994310009</v>
      </c>
      <c r="N7" s="18">
        <f>NN!K58</f>
        <v>18.086423148301101</v>
      </c>
      <c r="O7" s="18">
        <f>NN!L58</f>
        <v>18.057936835638458</v>
      </c>
      <c r="P7" s="18">
        <f>NN!M58</f>
        <v>18.123649534507248</v>
      </c>
      <c r="Q7" s="18">
        <f>NN!N58</f>
        <v>18.129759276635266</v>
      </c>
      <c r="R7" s="18">
        <f>NN!O58</f>
        <v>18.152532209115137</v>
      </c>
      <c r="S7" s="18">
        <f>NN!P58</f>
        <v>18.183765530172529</v>
      </c>
      <c r="T7" s="18">
        <f>NN!Q58</f>
        <v>18.065249168701929</v>
      </c>
      <c r="U7" s="18">
        <f>NN!R58</f>
        <v>18.059804593130035</v>
      </c>
      <c r="V7" s="18">
        <f>NN!S58</f>
        <v>18.152532209115137</v>
      </c>
      <c r="W7" s="18">
        <f>NN!T58</f>
        <v>18.067548493680246</v>
      </c>
      <c r="X7" s="18">
        <f>NN!U58</f>
        <v>18.112470771670722</v>
      </c>
      <c r="Y7" s="18">
        <f>NN!V58</f>
        <v>18.102075589836534</v>
      </c>
      <c r="Z7" s="1"/>
      <c r="AA7" s="1"/>
      <c r="AB7" s="1"/>
      <c r="AC7" s="1"/>
    </row>
    <row r="8" spans="4:29" x14ac:dyDescent="0.25">
      <c r="D8" s="7">
        <f>NN!A12</f>
        <v>2</v>
      </c>
      <c r="E8" s="7">
        <f>NN!B12</f>
        <v>8</v>
      </c>
      <c r="F8" s="18">
        <f>NN!C59</f>
        <v>18.080318799051959</v>
      </c>
      <c r="G8" s="18">
        <f>NN!D59</f>
        <v>18.096723835306282</v>
      </c>
      <c r="H8" s="18">
        <f>NN!E59</f>
        <v>18.048054915723402</v>
      </c>
      <c r="I8" s="18">
        <f>NN!F59</f>
        <v>18.152532209115137</v>
      </c>
      <c r="J8" s="18">
        <f>NN!G59</f>
        <v>18.134963910233402</v>
      </c>
      <c r="K8" s="18">
        <f>NN!H59</f>
        <v>18.228824501923466</v>
      </c>
      <c r="L8" s="18">
        <f>NN!I59</f>
        <v>18.07319775466101</v>
      </c>
      <c r="M8" s="18">
        <f>NN!J59</f>
        <v>18.129759276635266</v>
      </c>
      <c r="N8" s="18">
        <f>NN!K59</f>
        <v>18.297588422946372</v>
      </c>
      <c r="O8" s="18">
        <f>NN!L59</f>
        <v>18.110357753099425</v>
      </c>
      <c r="P8" s="18">
        <f>NN!M59</f>
        <v>18.15523809523809</v>
      </c>
      <c r="Q8" s="18">
        <f>NN!N59</f>
        <v>18.086423148301101</v>
      </c>
      <c r="R8" s="18">
        <f>NN!O59</f>
        <v>18.077101239437969</v>
      </c>
      <c r="S8" s="18">
        <f>NN!P59</f>
        <v>18.098919205888588</v>
      </c>
      <c r="T8" s="18">
        <f>NN!Q59</f>
        <v>18.055719574349808</v>
      </c>
      <c r="U8" s="18">
        <f>NN!R59</f>
        <v>18.152532209115137</v>
      </c>
      <c r="V8" s="18">
        <f>NN!S59</f>
        <v>18.092712870585707</v>
      </c>
      <c r="W8" s="18">
        <f>NN!T59</f>
        <v>18.077872778349924</v>
      </c>
      <c r="X8" s="18">
        <f>NN!U59</f>
        <v>18.134963910233402</v>
      </c>
      <c r="Y8" s="18">
        <f>NN!V59</f>
        <v>18.145184457397658</v>
      </c>
      <c r="Z8" s="1"/>
      <c r="AA8" s="1"/>
      <c r="AB8" s="1"/>
      <c r="AC8" s="1"/>
    </row>
    <row r="9" spans="4:29" x14ac:dyDescent="0.25">
      <c r="D9" s="7">
        <f>NN!A13</f>
        <v>2</v>
      </c>
      <c r="E9" s="7">
        <f>NN!B13</f>
        <v>4</v>
      </c>
      <c r="F9" s="18">
        <f>NN!C60</f>
        <v>18.062156687695325</v>
      </c>
      <c r="G9" s="18">
        <f>NN!D60</f>
        <v>18.049385934725027</v>
      </c>
      <c r="H9" s="18">
        <f>NN!E60</f>
        <v>18.046292060275057</v>
      </c>
      <c r="I9" s="18">
        <f>NN!F60</f>
        <v>18.169478739805719</v>
      </c>
      <c r="J9" s="18">
        <f>NN!G60</f>
        <v>18.093672032528954</v>
      </c>
      <c r="K9" s="18">
        <f>NN!H60</f>
        <v>18.114133410436519</v>
      </c>
      <c r="L9" s="18">
        <f>NN!I60</f>
        <v>18.209052637782968</v>
      </c>
      <c r="M9" s="18">
        <f>NN!J60</f>
        <v>18.058945173894902</v>
      </c>
      <c r="N9" s="18">
        <f>NN!K60</f>
        <v>18.080106983654908</v>
      </c>
      <c r="O9" s="18">
        <f>NN!L60</f>
        <v>18.051399572545133</v>
      </c>
      <c r="P9" s="18">
        <f>NN!M60</f>
        <v>18.243968221561111</v>
      </c>
      <c r="Q9" s="18">
        <f>NN!N60</f>
        <v>18.067952803138791</v>
      </c>
      <c r="R9" s="18">
        <f>NN!O60</f>
        <v>18.071435394090678</v>
      </c>
      <c r="S9" s="18">
        <f>NN!P60</f>
        <v>18.082753855137934</v>
      </c>
      <c r="T9" s="18">
        <f>NN!Q60</f>
        <v>18.042438641808012</v>
      </c>
      <c r="U9" s="18">
        <f>NN!R60</f>
        <v>18.069063008948227</v>
      </c>
      <c r="V9" s="18">
        <f>NN!S60</f>
        <v>18.375997315294217</v>
      </c>
      <c r="W9" s="18">
        <f>NN!T60</f>
        <v>18.04777718834109</v>
      </c>
      <c r="X9" s="18">
        <f>NN!U60</f>
        <v>18.270300475261678</v>
      </c>
      <c r="Y9" s="18">
        <f>NN!V60</f>
        <v>18.209052637782968</v>
      </c>
      <c r="Z9" s="1"/>
      <c r="AA9" s="1"/>
      <c r="AB9" s="1"/>
      <c r="AC9" s="1"/>
    </row>
    <row r="10" spans="4:29" x14ac:dyDescent="0.25">
      <c r="D10" s="7">
        <f>NN!A14</f>
        <v>4</v>
      </c>
      <c r="E10" s="7">
        <f>NN!B14</f>
        <v>6</v>
      </c>
      <c r="F10" s="18">
        <f>NN!C61</f>
        <v>18.036650686559209</v>
      </c>
      <c r="G10" s="18">
        <f>NN!D61</f>
        <v>18.048054915723402</v>
      </c>
      <c r="H10" s="18">
        <f>NN!E61</f>
        <v>18.026147759792387</v>
      </c>
      <c r="I10" s="18">
        <f>NN!F61</f>
        <v>18.096723835306282</v>
      </c>
      <c r="J10" s="18">
        <f>NN!G61</f>
        <v>18.17131542620298</v>
      </c>
      <c r="K10" s="18">
        <f>NN!H61</f>
        <v>18.110357753099425</v>
      </c>
      <c r="L10" s="18">
        <f>NN!I61</f>
        <v>18.047287129906898</v>
      </c>
      <c r="M10" s="18">
        <f>NN!J61</f>
        <v>18.098919205888588</v>
      </c>
      <c r="N10" s="18">
        <f>NN!K61</f>
        <v>18.07319775466101</v>
      </c>
      <c r="O10" s="18">
        <f>NN!L61</f>
        <v>18.058298344187957</v>
      </c>
      <c r="P10" s="18">
        <f>NN!M61</f>
        <v>18.075981674024302</v>
      </c>
      <c r="Q10" s="18">
        <f>NN!N61</f>
        <v>18.038310365864124</v>
      </c>
      <c r="R10" s="18">
        <f>NN!O61</f>
        <v>18.036190476190473</v>
      </c>
      <c r="S10" s="18">
        <f>NN!P61</f>
        <v>18.041750206466251</v>
      </c>
      <c r="T10" s="18">
        <f>NN!Q61</f>
        <v>18.029220434762813</v>
      </c>
      <c r="U10" s="18">
        <f>NN!R61</f>
        <v>18.125098488067238</v>
      </c>
      <c r="V10" s="18">
        <f>NN!S61</f>
        <v>18.054612311102737</v>
      </c>
      <c r="W10" s="18">
        <f>NN!T61</f>
        <v>18.037989813562405</v>
      </c>
      <c r="X10" s="18">
        <f>NN!U61</f>
        <v>18.077872778349924</v>
      </c>
      <c r="Y10" s="18">
        <f>NN!V61</f>
        <v>18.086423148301101</v>
      </c>
      <c r="Z10" s="1"/>
      <c r="AA10" s="1"/>
      <c r="AB10" s="1"/>
      <c r="AC10" s="1"/>
    </row>
    <row r="11" spans="4:29" x14ac:dyDescent="0.25">
      <c r="D11" s="7">
        <f>NN!A15</f>
        <v>1</v>
      </c>
      <c r="E11" s="7">
        <f>NN!B15</f>
        <v>16</v>
      </c>
      <c r="F11" s="18">
        <f>NN!C62</f>
        <v>18.047046712939689</v>
      </c>
      <c r="G11" s="18">
        <f>NN!D62</f>
        <v>18.055198448935684</v>
      </c>
      <c r="H11" s="18">
        <f>NN!E62</f>
        <v>18.032878708291669</v>
      </c>
      <c r="I11" s="18">
        <f>NN!F62</f>
        <v>18.204086117929812</v>
      </c>
      <c r="J11" s="18">
        <f>NN!G62</f>
        <v>18.460707383571005</v>
      </c>
      <c r="K11" s="18">
        <f>NN!H62</f>
        <v>18.21823991308359</v>
      </c>
      <c r="L11" s="18">
        <f>NN!I62</f>
        <v>18.068571428571424</v>
      </c>
      <c r="M11" s="18">
        <f>NN!J62</f>
        <v>18.101869983280956</v>
      </c>
      <c r="N11" s="18">
        <f>NN!K62</f>
        <v>18.097987678349966</v>
      </c>
      <c r="O11" s="18">
        <f>NN!L62</f>
        <v>18.064945863149379</v>
      </c>
      <c r="P11" s="18">
        <f>NN!M62</f>
        <v>18.134506765574727</v>
      </c>
      <c r="Q11" s="18">
        <f>NN!N62</f>
        <v>18.049901451572556</v>
      </c>
      <c r="R11" s="18">
        <f>NN!O62</f>
        <v>18.047694641506368</v>
      </c>
      <c r="S11" s="18">
        <f>NN!P62</f>
        <v>18.056170446928803</v>
      </c>
      <c r="T11" s="18">
        <f>NN!Q62</f>
        <v>18.035402965019212</v>
      </c>
      <c r="U11" s="18">
        <f>NN!R62</f>
        <v>18.140312583736698</v>
      </c>
      <c r="V11" s="18">
        <f>NN!S62</f>
        <v>18.08333582289022</v>
      </c>
      <c r="W11" s="18">
        <f>NN!T62</f>
        <v>18.045322637067681</v>
      </c>
      <c r="X11" s="18">
        <f>NN!U62</f>
        <v>18.140312583736698</v>
      </c>
      <c r="Y11" s="18">
        <f>NN!V62</f>
        <v>18.166831785541621</v>
      </c>
      <c r="Z11" s="1"/>
      <c r="AA11" s="1"/>
      <c r="AB11" s="1"/>
      <c r="AC11" s="1"/>
    </row>
    <row r="12" spans="4:29" x14ac:dyDescent="0.25">
      <c r="D12" s="7">
        <f>NN!A16</f>
        <v>8</v>
      </c>
      <c r="E12" s="7">
        <f>NN!B16</f>
        <v>1</v>
      </c>
      <c r="F12" s="18">
        <f>NN!C63</f>
        <v>18.044750264540887</v>
      </c>
      <c r="G12" s="18">
        <f>NN!D63</f>
        <v>18.066181869384295</v>
      </c>
      <c r="H12" s="18">
        <f>NN!E63</f>
        <v>18.030418549992753</v>
      </c>
      <c r="I12" s="18">
        <f>NN!F63</f>
        <v>18.102699485079949</v>
      </c>
      <c r="J12" s="18">
        <f>NN!G63</f>
        <v>18.187333977695967</v>
      </c>
      <c r="K12" s="18">
        <f>NN!H63</f>
        <v>18.142417582417579</v>
      </c>
      <c r="L12" s="18">
        <f>NN!I63</f>
        <v>18.04813901529387</v>
      </c>
      <c r="M12" s="18">
        <f>NN!J63</f>
        <v>18.187333977695967</v>
      </c>
      <c r="N12" s="18">
        <f>NN!K63</f>
        <v>18.107152707348554</v>
      </c>
      <c r="O12" s="18">
        <f>NN!L63</f>
        <v>18.085276018091829</v>
      </c>
      <c r="P12" s="18">
        <f>NN!M63</f>
        <v>18.08333582289022</v>
      </c>
      <c r="Q12" s="18">
        <f>NN!N63</f>
        <v>18.046626645881581</v>
      </c>
      <c r="R12" s="18">
        <f>NN!O63</f>
        <v>18.04279323745028</v>
      </c>
      <c r="S12" s="18">
        <f>NN!P63</f>
        <v>18.050273519019832</v>
      </c>
      <c r="T12" s="18">
        <f>NN!Q63</f>
        <v>18.035784809668314</v>
      </c>
      <c r="U12" s="18">
        <f>NN!R63</f>
        <v>18.27428571428571</v>
      </c>
      <c r="V12" s="18">
        <f>NN!S63</f>
        <v>18.0568431913998</v>
      </c>
      <c r="W12" s="18">
        <f>NN!T63</f>
        <v>18.049059356009547</v>
      </c>
      <c r="X12" s="18">
        <f>NN!U63</f>
        <v>18.081957422345944</v>
      </c>
      <c r="Y12" s="18">
        <f>NN!V63</f>
        <v>18.09132391492739</v>
      </c>
      <c r="Z12" s="1"/>
      <c r="AA12" s="1"/>
      <c r="AB12" s="1"/>
      <c r="AC12" s="1"/>
    </row>
    <row r="13" spans="4:29" x14ac:dyDescent="0.25">
      <c r="D13" s="7">
        <f>NN!A17</f>
        <v>9</v>
      </c>
      <c r="E13" s="7">
        <f>NN!B17</f>
        <v>6</v>
      </c>
      <c r="F13" s="18">
        <f>NN!C64</f>
        <v>18.036650686559209</v>
      </c>
      <c r="G13" s="18">
        <f>NN!D64</f>
        <v>18.048054915723402</v>
      </c>
      <c r="H13" s="18">
        <f>NN!E64</f>
        <v>18.026147759792387</v>
      </c>
      <c r="I13" s="18">
        <f>NN!F64</f>
        <v>18.096723835306282</v>
      </c>
      <c r="J13" s="18">
        <f>NN!G64</f>
        <v>18.17131542620298</v>
      </c>
      <c r="K13" s="18">
        <f>NN!H64</f>
        <v>18.110357753099425</v>
      </c>
      <c r="L13" s="18">
        <f>NN!I64</f>
        <v>18.047287129906898</v>
      </c>
      <c r="M13" s="18">
        <f>NN!J64</f>
        <v>18.098919205888588</v>
      </c>
      <c r="N13" s="18">
        <f>NN!K64</f>
        <v>18.07319775466101</v>
      </c>
      <c r="O13" s="18">
        <f>NN!L64</f>
        <v>18.058298344187957</v>
      </c>
      <c r="P13" s="18">
        <f>NN!M64</f>
        <v>18.075981674024302</v>
      </c>
      <c r="Q13" s="18">
        <f>NN!N64</f>
        <v>18.038310365864124</v>
      </c>
      <c r="R13" s="18">
        <f>NN!O64</f>
        <v>18.036190476190473</v>
      </c>
      <c r="S13" s="18">
        <f>NN!P64</f>
        <v>18.041750206466251</v>
      </c>
      <c r="T13" s="18">
        <f>NN!Q64</f>
        <v>18.029220434762813</v>
      </c>
      <c r="U13" s="18">
        <f>NN!R64</f>
        <v>18.125098488067238</v>
      </c>
      <c r="V13" s="18">
        <f>NN!S64</f>
        <v>18.054612311102737</v>
      </c>
      <c r="W13" s="18">
        <f>NN!T64</f>
        <v>18.037989813562405</v>
      </c>
      <c r="X13" s="18">
        <f>NN!U64</f>
        <v>18.077872778349924</v>
      </c>
      <c r="Y13" s="18">
        <f>NN!V64</f>
        <v>18.086423148301101</v>
      </c>
      <c r="Z13" s="1"/>
      <c r="AA13" s="1"/>
      <c r="AB13" s="1"/>
      <c r="AC13" s="1"/>
    </row>
    <row r="14" spans="4:29" x14ac:dyDescent="0.25">
      <c r="D14" s="7">
        <f>NN!A18</f>
        <v>13</v>
      </c>
      <c r="E14" s="7">
        <f>NN!B18</f>
        <v>3</v>
      </c>
      <c r="F14" s="18">
        <f>NN!C65</f>
        <v>18.044750264540887</v>
      </c>
      <c r="G14" s="18">
        <f>NN!D65</f>
        <v>18.066181869384295</v>
      </c>
      <c r="H14" s="18">
        <f>NN!E65</f>
        <v>18.030418549992753</v>
      </c>
      <c r="I14" s="18">
        <f>NN!F65</f>
        <v>18.102699485079949</v>
      </c>
      <c r="J14" s="18">
        <f>NN!G65</f>
        <v>18.187333977695967</v>
      </c>
      <c r="K14" s="18">
        <f>NN!H65</f>
        <v>18.142417582417579</v>
      </c>
      <c r="L14" s="18">
        <f>NN!I65</f>
        <v>18.04813901529387</v>
      </c>
      <c r="M14" s="18">
        <f>NN!J65</f>
        <v>18.187333977695967</v>
      </c>
      <c r="N14" s="18">
        <f>NN!K65</f>
        <v>18.107152707348554</v>
      </c>
      <c r="O14" s="18">
        <f>NN!L65</f>
        <v>18.085276018091829</v>
      </c>
      <c r="P14" s="18">
        <f>NN!M65</f>
        <v>18.08333582289022</v>
      </c>
      <c r="Q14" s="18">
        <f>NN!N65</f>
        <v>18.046626645881581</v>
      </c>
      <c r="R14" s="18">
        <f>NN!O65</f>
        <v>18.04279323745028</v>
      </c>
      <c r="S14" s="18">
        <f>NN!P65</f>
        <v>18.050273519019832</v>
      </c>
      <c r="T14" s="18">
        <f>NN!Q65</f>
        <v>18.035784809668314</v>
      </c>
      <c r="U14" s="18">
        <f>NN!R65</f>
        <v>18.27428571428571</v>
      </c>
      <c r="V14" s="18">
        <f>NN!S65</f>
        <v>18.0568431913998</v>
      </c>
      <c r="W14" s="18">
        <f>NN!T65</f>
        <v>18.049059356009547</v>
      </c>
      <c r="X14" s="18">
        <f>NN!U65</f>
        <v>18.081957422345944</v>
      </c>
      <c r="Y14" s="18">
        <f>NN!V65</f>
        <v>18.09132391492739</v>
      </c>
      <c r="Z14" s="1"/>
      <c r="AA14" s="1"/>
      <c r="AB14" s="1"/>
      <c r="AC14" s="1"/>
    </row>
    <row r="15" spans="4:29" x14ac:dyDescent="0.25">
      <c r="D15" s="7">
        <f>NN!A19</f>
        <v>3</v>
      </c>
      <c r="E15" s="7">
        <f>NN!B19</f>
        <v>10</v>
      </c>
      <c r="F15" s="18">
        <f>NN!C66</f>
        <v>18.049536176934385</v>
      </c>
      <c r="G15" s="18">
        <f>NN!D66</f>
        <v>18.057536945812803</v>
      </c>
      <c r="H15" s="18">
        <f>NN!E66</f>
        <v>18.034311546118978</v>
      </c>
      <c r="I15" s="18">
        <f>NN!F66</f>
        <v>18.236011581922831</v>
      </c>
      <c r="J15" s="18">
        <f>NN!G66</f>
        <v>18.460707383571005</v>
      </c>
      <c r="K15" s="18">
        <f>NN!H66</f>
        <v>18.259384613142185</v>
      </c>
      <c r="L15" s="18">
        <f>NN!I66</f>
        <v>18.071825963064338</v>
      </c>
      <c r="M15" s="18">
        <f>NN!J66</f>
        <v>18.104417171125782</v>
      </c>
      <c r="N15" s="18">
        <f>NN!K66</f>
        <v>18.105306948130728</v>
      </c>
      <c r="O15" s="18">
        <f>NN!L66</f>
        <v>18.067481724541324</v>
      </c>
      <c r="P15" s="18">
        <f>NN!M66</f>
        <v>18.149339171598292</v>
      </c>
      <c r="Q15" s="18">
        <f>NN!N66</f>
        <v>18.05266133135828</v>
      </c>
      <c r="R15" s="18">
        <f>NN!O66</f>
        <v>18.050273519019832</v>
      </c>
      <c r="S15" s="18">
        <f>NN!P66</f>
        <v>18.059562631674524</v>
      </c>
      <c r="T15" s="18">
        <f>NN!Q66</f>
        <v>18.036930441268265</v>
      </c>
      <c r="U15" s="18">
        <f>NN!R66</f>
        <v>18.144618398950044</v>
      </c>
      <c r="V15" s="18">
        <f>NN!S66</f>
        <v>18.088432839022015</v>
      </c>
      <c r="W15" s="18">
        <f>NN!T66</f>
        <v>18.047367944119248</v>
      </c>
      <c r="X15" s="18">
        <f>NN!U66</f>
        <v>18.154548245501754</v>
      </c>
      <c r="Y15" s="18">
        <f>NN!V66</f>
        <v>18.187333977695967</v>
      </c>
      <c r="Z15" s="1"/>
      <c r="AA15" s="1"/>
      <c r="AB15" s="1"/>
      <c r="AC15" s="1"/>
    </row>
    <row r="16" spans="4:29" x14ac:dyDescent="0.25">
      <c r="D16" s="7">
        <f>NN!A20</f>
        <v>13</v>
      </c>
      <c r="E16" s="7">
        <f>NN!B20</f>
        <v>14</v>
      </c>
      <c r="F16" s="18">
        <f>NN!C67</f>
        <v>18.079480519480516</v>
      </c>
      <c r="G16" s="18">
        <f>NN!D67</f>
        <v>18.083929102509686</v>
      </c>
      <c r="H16" s="18">
        <f>NN!E67</f>
        <v>18.048738092570655</v>
      </c>
      <c r="I16" s="18">
        <f>NN!F67</f>
        <v>18.188571428571425</v>
      </c>
      <c r="J16" s="18">
        <f>NN!G67</f>
        <v>18.138792533393758</v>
      </c>
      <c r="K16" s="18">
        <f>NN!H67</f>
        <v>18.249775303535166</v>
      </c>
      <c r="L16" s="18">
        <f>NN!I67</f>
        <v>18.084412123253887</v>
      </c>
      <c r="M16" s="18">
        <f>NN!J67</f>
        <v>18.109342772596051</v>
      </c>
      <c r="N16" s="18">
        <f>NN!K67</f>
        <v>18.205700701526759</v>
      </c>
      <c r="O16" s="18">
        <f>NN!L67</f>
        <v>18.092712870585707</v>
      </c>
      <c r="P16" s="18">
        <f>NN!M67</f>
        <v>18.205700701526759</v>
      </c>
      <c r="Q16" s="18">
        <f>NN!N67</f>
        <v>18.086423148301101</v>
      </c>
      <c r="R16" s="18">
        <f>NN!O67</f>
        <v>18.079480519480516</v>
      </c>
      <c r="S16" s="18">
        <f>NN!P67</f>
        <v>18.102075589836534</v>
      </c>
      <c r="T16" s="18">
        <f>NN!Q67</f>
        <v>18.053854865156111</v>
      </c>
      <c r="U16" s="18">
        <f>NN!R67</f>
        <v>18.131428571428568</v>
      </c>
      <c r="V16" s="18">
        <f>NN!S67</f>
        <v>18.110357753099425</v>
      </c>
      <c r="W16" s="18">
        <f>NN!T67</f>
        <v>18.071590941110163</v>
      </c>
      <c r="X16" s="18">
        <f>NN!U67</f>
        <v>18.17131542620298</v>
      </c>
      <c r="Y16" s="18">
        <f>NN!V67</f>
        <v>18.183765530172529</v>
      </c>
      <c r="Z16" s="1"/>
      <c r="AA16" s="1"/>
      <c r="AB16" s="1"/>
      <c r="AC16" s="1"/>
    </row>
    <row r="17" spans="4:29" x14ac:dyDescent="0.25">
      <c r="D17" s="7">
        <f>NN!A21</f>
        <v>12</v>
      </c>
      <c r="E17" s="7">
        <f>NN!B21</f>
        <v>16</v>
      </c>
      <c r="F17" s="18">
        <f>NN!C68</f>
        <v>18.082869361241553</v>
      </c>
      <c r="G17" s="18">
        <f>NN!D68</f>
        <v>18.111136812285618</v>
      </c>
      <c r="H17" s="18">
        <f>NN!E68</f>
        <v>18.04847909351118</v>
      </c>
      <c r="I17" s="18">
        <f>NN!F68</f>
        <v>18.127756890005692</v>
      </c>
      <c r="J17" s="18">
        <f>NN!G68</f>
        <v>18.121904761904759</v>
      </c>
      <c r="K17" s="18">
        <f>NN!H68</f>
        <v>18.187333977695967</v>
      </c>
      <c r="L17" s="18">
        <f>NN!I68</f>
        <v>18.066693842468034</v>
      </c>
      <c r="M17" s="18">
        <f>NN!J68</f>
        <v>18.142417582417579</v>
      </c>
      <c r="N17" s="18">
        <f>NN!K68</f>
        <v>18.460707383571005</v>
      </c>
      <c r="O17" s="18">
        <f>NN!L68</f>
        <v>18.12935150602982</v>
      </c>
      <c r="P17" s="18">
        <f>NN!M68</f>
        <v>18.12935150602982</v>
      </c>
      <c r="Q17" s="18">
        <f>NN!N68</f>
        <v>18.088432839022015</v>
      </c>
      <c r="R17" s="18">
        <f>NN!O68</f>
        <v>18.077006241531464</v>
      </c>
      <c r="S17" s="18">
        <f>NN!P68</f>
        <v>18.098730918232153</v>
      </c>
      <c r="T17" s="18">
        <f>NN!Q68</f>
        <v>18.05843541129877</v>
      </c>
      <c r="U17" s="18">
        <f>NN!R68</f>
        <v>18.157364069470265</v>
      </c>
      <c r="V17" s="18">
        <f>NN!S68</f>
        <v>18.082869361241553</v>
      </c>
      <c r="W17" s="18">
        <f>NN!T68</f>
        <v>18.085276018091829</v>
      </c>
      <c r="X17" s="18">
        <f>NN!U68</f>
        <v>18.114417396713751</v>
      </c>
      <c r="Y17" s="18">
        <f>NN!V68</f>
        <v>18.121904761904759</v>
      </c>
      <c r="Z17" s="1"/>
      <c r="AA17" s="1"/>
      <c r="AB17" s="1"/>
      <c r="AC17" s="1"/>
    </row>
    <row r="18" spans="4:29" x14ac:dyDescent="0.25">
      <c r="D18" s="7">
        <f>NN!A22</f>
        <v>11</v>
      </c>
      <c r="E18" s="7">
        <f>NN!B22</f>
        <v>14</v>
      </c>
      <c r="F18" s="18">
        <f>NN!C69</f>
        <v>18.112470771670722</v>
      </c>
      <c r="G18" s="18">
        <f>NN!D69</f>
        <v>18.110357753099425</v>
      </c>
      <c r="H18" s="18">
        <f>NN!E69</f>
        <v>18.059804593130035</v>
      </c>
      <c r="I18" s="18">
        <f>NN!F69</f>
        <v>18.112470771670722</v>
      </c>
      <c r="J18" s="18">
        <f>NN!G69</f>
        <v>18.092712870585707</v>
      </c>
      <c r="K18" s="18">
        <f>NN!H69</f>
        <v>18.134963910233402</v>
      </c>
      <c r="L18" s="18">
        <f>NN!I69</f>
        <v>18.074554873327983</v>
      </c>
      <c r="M18" s="18">
        <f>NN!J69</f>
        <v>18.098919205888588</v>
      </c>
      <c r="N18" s="18">
        <f>NN!K69</f>
        <v>18.238571428571426</v>
      </c>
      <c r="O18" s="18">
        <f>NN!L69</f>
        <v>18.110357753099425</v>
      </c>
      <c r="P18" s="18">
        <f>NN!M69</f>
        <v>18.129759276635266</v>
      </c>
      <c r="Q18" s="18">
        <f>NN!N69</f>
        <v>18.123649534507248</v>
      </c>
      <c r="R18" s="18">
        <f>NN!O69</f>
        <v>18.104637623411143</v>
      </c>
      <c r="S18" s="18">
        <f>NN!P69</f>
        <v>18.145184457397658</v>
      </c>
      <c r="T18" s="18">
        <f>NN!Q69</f>
        <v>18.070670943793189</v>
      </c>
      <c r="U18" s="18">
        <f>NN!R69</f>
        <v>18.104637623411143</v>
      </c>
      <c r="V18" s="18">
        <f>NN!S69</f>
        <v>18.092712870585707</v>
      </c>
      <c r="W18" s="18">
        <f>NN!T69</f>
        <v>18.099682539682536</v>
      </c>
      <c r="X18" s="18">
        <f>NN!U69</f>
        <v>18.112470771670722</v>
      </c>
      <c r="Y18" s="18">
        <f>NN!V69</f>
        <v>18.113571428571426</v>
      </c>
      <c r="Z18" s="1"/>
      <c r="AA18" s="1"/>
      <c r="AB18" s="1"/>
      <c r="AC18" s="1"/>
    </row>
    <row r="19" spans="4:29" x14ac:dyDescent="0.25">
      <c r="D19" s="7">
        <f>NN!A23</f>
        <v>19</v>
      </c>
      <c r="E19" s="7">
        <f>NN!B23</f>
        <v>14</v>
      </c>
      <c r="F19" s="18">
        <f>NN!C70</f>
        <v>18.072063053676448</v>
      </c>
      <c r="G19" s="18">
        <f>NN!D70</f>
        <v>18.121564257612452</v>
      </c>
      <c r="H19" s="18">
        <f>NN!E70</f>
        <v>18.043458654824292</v>
      </c>
      <c r="I19" s="18">
        <f>NN!F70</f>
        <v>18.107868840349308</v>
      </c>
      <c r="J19" s="18">
        <f>NN!G70</f>
        <v>18.121564257612452</v>
      </c>
      <c r="K19" s="18">
        <f>NN!H70</f>
        <v>18.162683823466892</v>
      </c>
      <c r="L19" s="18">
        <f>NN!I70</f>
        <v>18.056462256399403</v>
      </c>
      <c r="M19" s="18">
        <f>NN!J70</f>
        <v>18.209052637782968</v>
      </c>
      <c r="N19" s="18">
        <f>NN!K70</f>
        <v>18.375997315294217</v>
      </c>
      <c r="O19" s="18">
        <f>NN!L70</f>
        <v>18.162683823466892</v>
      </c>
      <c r="P19" s="18">
        <f>NN!M70</f>
        <v>18.102490329294987</v>
      </c>
      <c r="Q19" s="18">
        <f>NN!N70</f>
        <v>18.075438077163337</v>
      </c>
      <c r="R19" s="18">
        <f>NN!O70</f>
        <v>18.065371535053455</v>
      </c>
      <c r="S19" s="18">
        <f>NN!P70</f>
        <v>18.080963484615342</v>
      </c>
      <c r="T19" s="18">
        <f>NN!Q70</f>
        <v>18.054535349666693</v>
      </c>
      <c r="U19" s="18">
        <f>NN!R70</f>
        <v>18.209052637782968</v>
      </c>
      <c r="V19" s="18">
        <f>NN!S70</f>
        <v>18.068501956580711</v>
      </c>
      <c r="W19" s="18">
        <f>NN!T70</f>
        <v>18.082753855137934</v>
      </c>
      <c r="X19" s="18">
        <f>NN!U70</f>
        <v>18.093672032528954</v>
      </c>
      <c r="Y19" s="18">
        <f>NN!V70</f>
        <v>18.100859138334368</v>
      </c>
      <c r="Z19" s="1"/>
      <c r="AA19" s="1"/>
      <c r="AB19" s="1"/>
      <c r="AC19" s="1"/>
    </row>
    <row r="20" spans="4:29" x14ac:dyDescent="0.25">
      <c r="D20" s="7">
        <f>NN!A24</f>
        <v>6</v>
      </c>
      <c r="E20" s="7">
        <f>NN!B24</f>
        <v>2</v>
      </c>
      <c r="F20" s="18">
        <f>NN!C71</f>
        <v>18.051599013786507</v>
      </c>
      <c r="G20" s="18">
        <f>NN!D71</f>
        <v>18.070670943793189</v>
      </c>
      <c r="H20" s="18">
        <f>NN!E71</f>
        <v>18.034424789790602</v>
      </c>
      <c r="I20" s="18">
        <f>NN!F71</f>
        <v>18.145184457397658</v>
      </c>
      <c r="J20" s="18">
        <f>NN!G71</f>
        <v>18.297588422946372</v>
      </c>
      <c r="K20" s="18">
        <f>NN!H71</f>
        <v>18.238571428571426</v>
      </c>
      <c r="L20" s="18">
        <f>NN!I71</f>
        <v>18.058298344187957</v>
      </c>
      <c r="M20" s="18">
        <f>NN!J71</f>
        <v>18.17131542620298</v>
      </c>
      <c r="N20" s="18">
        <f>NN!K71</f>
        <v>18.134963910233402</v>
      </c>
      <c r="O20" s="18">
        <f>NN!L71</f>
        <v>18.088571428571424</v>
      </c>
      <c r="P20" s="18">
        <f>NN!M71</f>
        <v>18.112470771670722</v>
      </c>
      <c r="Q20" s="18">
        <f>NN!N71</f>
        <v>18.054306107196062</v>
      </c>
      <c r="R20" s="18">
        <f>NN!O71</f>
        <v>18.050055642030365</v>
      </c>
      <c r="S20" s="18">
        <f>NN!P71</f>
        <v>18.059804593130035</v>
      </c>
      <c r="T20" s="18">
        <f>NN!Q71</f>
        <v>18.039589037956173</v>
      </c>
      <c r="U20" s="18">
        <f>NN!R71</f>
        <v>18.297588422946372</v>
      </c>
      <c r="V20" s="18">
        <f>NN!S71</f>
        <v>18.070670943793189</v>
      </c>
      <c r="W20" s="18">
        <f>NN!T71</f>
        <v>18.053854865156111</v>
      </c>
      <c r="X20" s="18">
        <f>NN!U71</f>
        <v>18.109342772596051</v>
      </c>
      <c r="Y20" s="18">
        <f>NN!V71</f>
        <v>18.125098488067238</v>
      </c>
      <c r="Z20" s="1"/>
      <c r="AA20" s="1"/>
      <c r="AB20" s="1"/>
      <c r="AC20" s="1"/>
    </row>
    <row r="21" spans="4:29" x14ac:dyDescent="0.25">
      <c r="D21" s="7">
        <f>NN!A25</f>
        <v>2</v>
      </c>
      <c r="E21" s="7">
        <f>NN!B25</f>
        <v>14</v>
      </c>
      <c r="F21" s="18">
        <f>NN!C72</f>
        <v>18.046445749011198</v>
      </c>
      <c r="G21" s="18">
        <f>NN!D72</f>
        <v>18.059228093908438</v>
      </c>
      <c r="H21" s="18">
        <f>NN!E72</f>
        <v>18.032006791268831</v>
      </c>
      <c r="I21" s="18">
        <f>NN!F72</f>
        <v>18.15523809523809</v>
      </c>
      <c r="J21" s="18">
        <f>NN!G72</f>
        <v>18.488571428571426</v>
      </c>
      <c r="K21" s="18">
        <f>NN!H72</f>
        <v>18.205700701526759</v>
      </c>
      <c r="L21" s="18">
        <f>NN!I72</f>
        <v>18.059804593130035</v>
      </c>
      <c r="M21" s="18">
        <f>NN!J72</f>
        <v>18.125098488067238</v>
      </c>
      <c r="N21" s="18">
        <f>NN!K72</f>
        <v>18.104637623411143</v>
      </c>
      <c r="O21" s="18">
        <f>NN!L72</f>
        <v>18.071904761904758</v>
      </c>
      <c r="P21" s="18">
        <f>NN!M72</f>
        <v>18.112470771670722</v>
      </c>
      <c r="Q21" s="18">
        <f>NN!N72</f>
        <v>18.048971217725384</v>
      </c>
      <c r="R21" s="18">
        <f>NN!O72</f>
        <v>18.046038665388053</v>
      </c>
      <c r="S21" s="18">
        <f>NN!P72</f>
        <v>18.054306107196062</v>
      </c>
      <c r="T21" s="18">
        <f>NN!Q72</f>
        <v>18.035633669968288</v>
      </c>
      <c r="U21" s="18">
        <f>NN!R72</f>
        <v>18.183765530172529</v>
      </c>
      <c r="V21" s="18">
        <f>NN!S72</f>
        <v>18.071904761904758</v>
      </c>
      <c r="W21" s="18">
        <f>NN!T72</f>
        <v>18.04686179173067</v>
      </c>
      <c r="X21" s="18">
        <f>NN!U72</f>
        <v>18.113571428571426</v>
      </c>
      <c r="Y21" s="18">
        <f>NN!V72</f>
        <v>18.131428571428568</v>
      </c>
      <c r="Z21" s="1"/>
      <c r="AA21" s="1"/>
      <c r="AB21" s="1"/>
      <c r="AC21" s="1"/>
    </row>
    <row r="22" spans="4:29" x14ac:dyDescent="0.25">
      <c r="D22" s="7">
        <f>NN!A26</f>
        <v>17</v>
      </c>
      <c r="E22" s="7">
        <f>NN!B26</f>
        <v>9</v>
      </c>
      <c r="F22" s="18">
        <f>NN!C73</f>
        <v>18.088432839022015</v>
      </c>
      <c r="G22" s="18">
        <f>NN!D73</f>
        <v>18.084779418417018</v>
      </c>
      <c r="H22" s="18">
        <f>NN!E73</f>
        <v>18.052944517055366</v>
      </c>
      <c r="I22" s="18">
        <f>NN!F73</f>
        <v>18.166831785541621</v>
      </c>
      <c r="J22" s="18">
        <f>NN!G73</f>
        <v>18.117990909329318</v>
      </c>
      <c r="K22" s="18">
        <f>NN!H73</f>
        <v>18.192439838252362</v>
      </c>
      <c r="L22" s="18">
        <f>NN!I73</f>
        <v>18.089558609496439</v>
      </c>
      <c r="M22" s="18">
        <f>NN!J73</f>
        <v>18.097987678349966</v>
      </c>
      <c r="N22" s="18">
        <f>NN!K73</f>
        <v>18.192439838252362</v>
      </c>
      <c r="O22" s="18">
        <f>NN!L73</f>
        <v>18.090136516033912</v>
      </c>
      <c r="P22" s="18">
        <f>NN!M73</f>
        <v>18.204086117929812</v>
      </c>
      <c r="Q22" s="18">
        <f>NN!N73</f>
        <v>18.097259877377891</v>
      </c>
      <c r="R22" s="18">
        <f>NN!O73</f>
        <v>18.089558609496439</v>
      </c>
      <c r="S22" s="18">
        <f>NN!P73</f>
        <v>18.117990909329318</v>
      </c>
      <c r="T22" s="18">
        <f>NN!Q73</f>
        <v>18.057713797602418</v>
      </c>
      <c r="U22" s="18">
        <f>NN!R73</f>
        <v>18.11329338554156</v>
      </c>
      <c r="V22" s="18">
        <f>NN!S73</f>
        <v>18.117990909329318</v>
      </c>
      <c r="W22" s="18">
        <f>NN!T73</f>
        <v>18.075527950310555</v>
      </c>
      <c r="X22" s="18">
        <f>NN!U73</f>
        <v>18.166831785541621</v>
      </c>
      <c r="Y22" s="18">
        <f>NN!V73</f>
        <v>18.170389610389606</v>
      </c>
      <c r="Z22" s="1"/>
      <c r="AA22" s="1"/>
      <c r="AB22" s="1"/>
      <c r="AC22" s="1"/>
    </row>
    <row r="23" spans="4:29" x14ac:dyDescent="0.25">
      <c r="D23" s="7">
        <f>NN!A27</f>
        <v>2</v>
      </c>
      <c r="E23" s="7">
        <f>NN!B27</f>
        <v>10</v>
      </c>
      <c r="F23" s="18">
        <f>NN!C74</f>
        <v>18.072063053676448</v>
      </c>
      <c r="G23" s="18">
        <f>NN!D74</f>
        <v>18.121564257612452</v>
      </c>
      <c r="H23" s="18">
        <f>NN!E74</f>
        <v>18.043458654824292</v>
      </c>
      <c r="I23" s="18">
        <f>NN!F74</f>
        <v>18.107868840349308</v>
      </c>
      <c r="J23" s="18">
        <f>NN!G74</f>
        <v>18.121564257612452</v>
      </c>
      <c r="K23" s="18">
        <f>NN!H74</f>
        <v>18.162683823466892</v>
      </c>
      <c r="L23" s="18">
        <f>NN!I74</f>
        <v>18.056462256399403</v>
      </c>
      <c r="M23" s="18">
        <f>NN!J74</f>
        <v>18.209052637782968</v>
      </c>
      <c r="N23" s="18">
        <f>NN!K74</f>
        <v>18.375997315294217</v>
      </c>
      <c r="O23" s="18">
        <f>NN!L74</f>
        <v>18.162683823466892</v>
      </c>
      <c r="P23" s="18">
        <f>NN!M74</f>
        <v>18.102490329294987</v>
      </c>
      <c r="Q23" s="18">
        <f>NN!N74</f>
        <v>18.075438077163337</v>
      </c>
      <c r="R23" s="18">
        <f>NN!O74</f>
        <v>18.065371535053455</v>
      </c>
      <c r="S23" s="18">
        <f>NN!P74</f>
        <v>18.080963484615342</v>
      </c>
      <c r="T23" s="18">
        <f>NN!Q74</f>
        <v>18.054535349666693</v>
      </c>
      <c r="U23" s="18">
        <f>NN!R74</f>
        <v>18.209052637782968</v>
      </c>
      <c r="V23" s="18">
        <f>NN!S74</f>
        <v>18.068501956580711</v>
      </c>
      <c r="W23" s="18">
        <f>NN!T74</f>
        <v>18.082753855137934</v>
      </c>
      <c r="X23" s="18">
        <f>NN!U74</f>
        <v>18.093672032528954</v>
      </c>
      <c r="Y23" s="18">
        <f>NN!V74</f>
        <v>18.100859138334368</v>
      </c>
      <c r="Z23" s="1"/>
      <c r="AA23" s="1"/>
      <c r="AB23" s="7"/>
      <c r="AC23" s="1"/>
    </row>
    <row r="24" spans="4:29" x14ac:dyDescent="0.25">
      <c r="D24" s="7">
        <f>NN!A28</f>
        <v>2</v>
      </c>
      <c r="E24" s="7">
        <f>NN!B28</f>
        <v>9</v>
      </c>
      <c r="F24" s="18">
        <f>NN!C75</f>
        <v>18.072063053676448</v>
      </c>
      <c r="G24" s="18">
        <f>NN!D75</f>
        <v>18.121564257612452</v>
      </c>
      <c r="H24" s="18">
        <f>NN!E75</f>
        <v>18.043458654824292</v>
      </c>
      <c r="I24" s="18">
        <f>NN!F75</f>
        <v>18.107868840349308</v>
      </c>
      <c r="J24" s="18">
        <f>NN!G75</f>
        <v>18.121564257612452</v>
      </c>
      <c r="K24" s="18">
        <f>NN!H75</f>
        <v>18.162683823466892</v>
      </c>
      <c r="L24" s="18">
        <f>NN!I75</f>
        <v>18.056462256399403</v>
      </c>
      <c r="M24" s="18">
        <f>NN!J75</f>
        <v>18.209052637782968</v>
      </c>
      <c r="N24" s="18">
        <f>NN!K75</f>
        <v>18.375997315294217</v>
      </c>
      <c r="O24" s="18">
        <f>NN!L75</f>
        <v>18.162683823466892</v>
      </c>
      <c r="P24" s="18">
        <f>NN!M75</f>
        <v>18.102490329294987</v>
      </c>
      <c r="Q24" s="18">
        <f>NN!N75</f>
        <v>18.075438077163337</v>
      </c>
      <c r="R24" s="18">
        <f>NN!O75</f>
        <v>18.065371535053455</v>
      </c>
      <c r="S24" s="18">
        <f>NN!P75</f>
        <v>18.080963484615342</v>
      </c>
      <c r="T24" s="18">
        <f>NN!Q75</f>
        <v>18.054535349666693</v>
      </c>
      <c r="U24" s="18">
        <f>NN!R75</f>
        <v>18.209052637782968</v>
      </c>
      <c r="V24" s="18">
        <f>NN!S75</f>
        <v>18.068501956580711</v>
      </c>
      <c r="W24" s="18">
        <f>NN!T75</f>
        <v>18.082753855137934</v>
      </c>
      <c r="X24" s="18">
        <f>NN!U75</f>
        <v>18.093672032528954</v>
      </c>
      <c r="Y24" s="18">
        <f>NN!V75</f>
        <v>18.100859138334368</v>
      </c>
      <c r="Z24" s="1"/>
      <c r="AA24" s="1"/>
      <c r="AB24" s="1"/>
      <c r="AC24" s="1"/>
    </row>
    <row r="25" spans="4:29" x14ac:dyDescent="0.25">
      <c r="D25" s="1"/>
      <c r="E25" s="2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1"/>
      <c r="AA25" s="1"/>
      <c r="AB25" s="1"/>
      <c r="AC25" s="1"/>
    </row>
    <row r="26" spans="4:29" x14ac:dyDescent="0.25">
      <c r="E26" s="4"/>
    </row>
    <row r="27" spans="4:29" x14ac:dyDescent="0.25">
      <c r="D27" s="17" t="str">
        <f t="shared" ref="D27:E28" si="0">D3</f>
        <v>x</v>
      </c>
      <c r="E27" s="17"/>
      <c r="F27" s="17">
        <f t="shared" ref="F27:Y27" si="1">F3</f>
        <v>14</v>
      </c>
      <c r="G27" s="17">
        <f t="shared" si="1"/>
        <v>15</v>
      </c>
      <c r="H27" s="17">
        <f t="shared" si="1"/>
        <v>16</v>
      </c>
      <c r="I27" s="17">
        <f t="shared" si="1"/>
        <v>2</v>
      </c>
      <c r="J27" s="17">
        <f t="shared" si="1"/>
        <v>2</v>
      </c>
      <c r="K27" s="17">
        <f t="shared" si="1"/>
        <v>4</v>
      </c>
      <c r="L27" s="17">
        <f t="shared" si="1"/>
        <v>1</v>
      </c>
      <c r="M27" s="17">
        <f t="shared" si="1"/>
        <v>8</v>
      </c>
      <c r="N27" s="17">
        <f t="shared" si="1"/>
        <v>9</v>
      </c>
      <c r="O27" s="17">
        <f t="shared" si="1"/>
        <v>13</v>
      </c>
      <c r="P27" s="17">
        <f t="shared" si="1"/>
        <v>3</v>
      </c>
      <c r="Q27" s="17">
        <f t="shared" si="1"/>
        <v>13</v>
      </c>
      <c r="R27" s="17">
        <f t="shared" si="1"/>
        <v>12</v>
      </c>
      <c r="S27" s="17">
        <f t="shared" si="1"/>
        <v>11</v>
      </c>
      <c r="T27" s="17">
        <f t="shared" si="1"/>
        <v>19</v>
      </c>
      <c r="U27" s="17">
        <f t="shared" si="1"/>
        <v>6</v>
      </c>
      <c r="V27" s="17">
        <f t="shared" si="1"/>
        <v>2</v>
      </c>
      <c r="W27" s="17">
        <f t="shared" si="1"/>
        <v>17</v>
      </c>
      <c r="X27" s="17">
        <f t="shared" si="1"/>
        <v>2</v>
      </c>
      <c r="Y27" s="17">
        <f t="shared" si="1"/>
        <v>2</v>
      </c>
    </row>
    <row r="28" spans="4:29" ht="11" thickBot="1" x14ac:dyDescent="0.3">
      <c r="D28" s="17"/>
      <c r="E28" s="17" t="str">
        <f t="shared" si="0"/>
        <v>y</v>
      </c>
      <c r="F28" s="17">
        <f t="shared" ref="F28:Y28" si="2">F4</f>
        <v>14</v>
      </c>
      <c r="G28" s="17">
        <f t="shared" si="2"/>
        <v>5</v>
      </c>
      <c r="H28" s="17">
        <f t="shared" si="2"/>
        <v>20</v>
      </c>
      <c r="I28" s="17">
        <f t="shared" si="2"/>
        <v>8</v>
      </c>
      <c r="J28" s="17">
        <f t="shared" si="2"/>
        <v>4</v>
      </c>
      <c r="K28" s="17">
        <f t="shared" si="2"/>
        <v>6</v>
      </c>
      <c r="L28" s="17">
        <f t="shared" si="2"/>
        <v>16</v>
      </c>
      <c r="M28" s="17">
        <f t="shared" si="2"/>
        <v>1</v>
      </c>
      <c r="N28" s="17">
        <f t="shared" si="2"/>
        <v>6</v>
      </c>
      <c r="O28" s="17">
        <f t="shared" si="2"/>
        <v>3</v>
      </c>
      <c r="P28" s="17">
        <f t="shared" si="2"/>
        <v>10</v>
      </c>
      <c r="Q28" s="17">
        <f t="shared" si="2"/>
        <v>14</v>
      </c>
      <c r="R28" s="17">
        <f t="shared" si="2"/>
        <v>16</v>
      </c>
      <c r="S28" s="17">
        <f t="shared" si="2"/>
        <v>14</v>
      </c>
      <c r="T28" s="17">
        <f t="shared" si="2"/>
        <v>14</v>
      </c>
      <c r="U28" s="17">
        <f t="shared" si="2"/>
        <v>2</v>
      </c>
      <c r="V28" s="17">
        <f t="shared" si="2"/>
        <v>14</v>
      </c>
      <c r="W28" s="17">
        <f t="shared" si="2"/>
        <v>9</v>
      </c>
      <c r="X28" s="17">
        <f t="shared" si="2"/>
        <v>10</v>
      </c>
      <c r="Y28" s="17">
        <f t="shared" si="2"/>
        <v>9</v>
      </c>
      <c r="AA28" s="7" t="s">
        <v>29</v>
      </c>
      <c r="AB28" s="7" t="s">
        <v>28</v>
      </c>
    </row>
    <row r="29" spans="4:29" ht="11" thickTop="1" x14ac:dyDescent="0.25">
      <c r="D29" s="17">
        <f>D5</f>
        <v>14</v>
      </c>
      <c r="E29" s="17">
        <f>E5</f>
        <v>14</v>
      </c>
      <c r="F29" s="9">
        <f>NN!C32</f>
        <v>0</v>
      </c>
      <c r="G29" s="10">
        <f>NN!D32</f>
        <v>1</v>
      </c>
      <c r="H29" s="10">
        <f>NN!E32</f>
        <v>0</v>
      </c>
      <c r="I29" s="10">
        <f>NN!F32</f>
        <v>0</v>
      </c>
      <c r="J29" s="10">
        <f>NN!G32</f>
        <v>0</v>
      </c>
      <c r="K29" s="10">
        <f>NN!H32</f>
        <v>0</v>
      </c>
      <c r="L29" s="10">
        <f>NN!I32</f>
        <v>0</v>
      </c>
      <c r="M29" s="10">
        <f>NN!J32</f>
        <v>0</v>
      </c>
      <c r="N29" s="10">
        <f>NN!K32</f>
        <v>0</v>
      </c>
      <c r="O29" s="10">
        <f>NN!L32</f>
        <v>0</v>
      </c>
      <c r="P29" s="10">
        <f>NN!M32</f>
        <v>0</v>
      </c>
      <c r="Q29" s="10">
        <f>NN!N32</f>
        <v>0</v>
      </c>
      <c r="R29" s="10">
        <f>NN!O32</f>
        <v>0</v>
      </c>
      <c r="S29" s="10">
        <f>NN!P32</f>
        <v>0</v>
      </c>
      <c r="T29" s="10">
        <f>NN!Q32</f>
        <v>0</v>
      </c>
      <c r="U29" s="10">
        <f>NN!R32</f>
        <v>0</v>
      </c>
      <c r="V29" s="10">
        <f>NN!S32</f>
        <v>0</v>
      </c>
      <c r="W29" s="10">
        <f>NN!T32</f>
        <v>0</v>
      </c>
      <c r="X29" s="10">
        <f>NN!U32</f>
        <v>0</v>
      </c>
      <c r="Y29" s="11">
        <f>NN!V32</f>
        <v>0</v>
      </c>
      <c r="AA29" s="7">
        <f>NN!Y127</f>
        <v>2</v>
      </c>
      <c r="AB29" s="7">
        <f>NN!AC127</f>
        <v>0.1</v>
      </c>
    </row>
    <row r="30" spans="4:29" x14ac:dyDescent="0.25">
      <c r="D30" s="17">
        <f t="shared" ref="D30:E30" si="3">D6</f>
        <v>15</v>
      </c>
      <c r="E30" s="17">
        <f t="shared" si="3"/>
        <v>5</v>
      </c>
      <c r="F30" s="12">
        <f>NN!C33</f>
        <v>0</v>
      </c>
      <c r="G30" s="5">
        <f>NN!D33</f>
        <v>0</v>
      </c>
      <c r="H30" s="5">
        <f>NN!E33</f>
        <v>0</v>
      </c>
      <c r="I30" s="5">
        <f>NN!F33</f>
        <v>0</v>
      </c>
      <c r="J30" s="5">
        <f>NN!G33</f>
        <v>0</v>
      </c>
      <c r="K30" s="5">
        <f>NN!H33</f>
        <v>0</v>
      </c>
      <c r="L30" s="5">
        <f>NN!I33</f>
        <v>0</v>
      </c>
      <c r="M30" s="5">
        <f>NN!J33</f>
        <v>0</v>
      </c>
      <c r="N30" s="5">
        <f>NN!K33</f>
        <v>0</v>
      </c>
      <c r="O30" s="5">
        <f>NN!L33</f>
        <v>0</v>
      </c>
      <c r="P30" s="5">
        <f>NN!M33</f>
        <v>0</v>
      </c>
      <c r="Q30" s="5">
        <f>NN!N33</f>
        <v>1</v>
      </c>
      <c r="R30" s="5">
        <f>NN!O33</f>
        <v>0</v>
      </c>
      <c r="S30" s="5">
        <f>NN!P33</f>
        <v>0</v>
      </c>
      <c r="T30" s="5">
        <f>NN!Q33</f>
        <v>0</v>
      </c>
      <c r="U30" s="5">
        <f>NN!R33</f>
        <v>0</v>
      </c>
      <c r="V30" s="5">
        <f>NN!S33</f>
        <v>0</v>
      </c>
      <c r="W30" s="5">
        <f>NN!T33</f>
        <v>0</v>
      </c>
      <c r="X30" s="5">
        <f>NN!U33</f>
        <v>0</v>
      </c>
      <c r="Y30" s="13">
        <f>NN!V33</f>
        <v>0</v>
      </c>
      <c r="AA30" s="7">
        <f>NN!Y128</f>
        <v>12</v>
      </c>
      <c r="AB30" s="7">
        <f>NN!AC128</f>
        <v>0.6</v>
      </c>
    </row>
    <row r="31" spans="4:29" x14ac:dyDescent="0.25">
      <c r="D31" s="17">
        <f t="shared" ref="D31:E31" si="4">D7</f>
        <v>16</v>
      </c>
      <c r="E31" s="17">
        <f t="shared" si="4"/>
        <v>20</v>
      </c>
      <c r="F31" s="12">
        <f>NN!C34</f>
        <v>1</v>
      </c>
      <c r="G31" s="5">
        <f>NN!D34</f>
        <v>0</v>
      </c>
      <c r="H31" s="5">
        <f>NN!E34</f>
        <v>0</v>
      </c>
      <c r="I31" s="5">
        <f>NN!F34</f>
        <v>0</v>
      </c>
      <c r="J31" s="5">
        <f>NN!G34</f>
        <v>0</v>
      </c>
      <c r="K31" s="5">
        <f>NN!H34</f>
        <v>0</v>
      </c>
      <c r="L31" s="5">
        <f>NN!I34</f>
        <v>0</v>
      </c>
      <c r="M31" s="5">
        <f>NN!J34</f>
        <v>0</v>
      </c>
      <c r="N31" s="5">
        <f>NN!K34</f>
        <v>0</v>
      </c>
      <c r="O31" s="5">
        <f>NN!L34</f>
        <v>0</v>
      </c>
      <c r="P31" s="5">
        <f>NN!M34</f>
        <v>0</v>
      </c>
      <c r="Q31" s="5">
        <f>NN!N34</f>
        <v>0</v>
      </c>
      <c r="R31" s="5">
        <f>NN!O34</f>
        <v>0</v>
      </c>
      <c r="S31" s="5">
        <f>NN!P34</f>
        <v>0</v>
      </c>
      <c r="T31" s="5">
        <f>NN!Q34</f>
        <v>0</v>
      </c>
      <c r="U31" s="5">
        <f>NN!R34</f>
        <v>0</v>
      </c>
      <c r="V31" s="5">
        <f>NN!S34</f>
        <v>0</v>
      </c>
      <c r="W31" s="5">
        <f>NN!T34</f>
        <v>0</v>
      </c>
      <c r="X31" s="5">
        <f>NN!U34</f>
        <v>0</v>
      </c>
      <c r="Y31" s="13">
        <f>NN!V34</f>
        <v>0</v>
      </c>
      <c r="AA31" s="7">
        <f>NN!Y129</f>
        <v>1</v>
      </c>
      <c r="AB31" s="7">
        <f>NN!AC129</f>
        <v>0.05</v>
      </c>
    </row>
    <row r="32" spans="4:29" x14ac:dyDescent="0.25">
      <c r="D32" s="17">
        <f t="shared" ref="D32:E32" si="5">D8</f>
        <v>2</v>
      </c>
      <c r="E32" s="17">
        <f t="shared" si="5"/>
        <v>8</v>
      </c>
      <c r="F32" s="12">
        <f>NN!C35</f>
        <v>0</v>
      </c>
      <c r="G32" s="5">
        <f>NN!D35</f>
        <v>0</v>
      </c>
      <c r="H32" s="5">
        <f>NN!E35</f>
        <v>0</v>
      </c>
      <c r="I32" s="5">
        <f>NN!F35</f>
        <v>0</v>
      </c>
      <c r="J32" s="5">
        <f>NN!G35</f>
        <v>0</v>
      </c>
      <c r="K32" s="5">
        <f>NN!H35</f>
        <v>0</v>
      </c>
      <c r="L32" s="5">
        <f>NN!I35</f>
        <v>1</v>
      </c>
      <c r="M32" s="5">
        <f>NN!J35</f>
        <v>0</v>
      </c>
      <c r="N32" s="5">
        <f>NN!K35</f>
        <v>0</v>
      </c>
      <c r="O32" s="5">
        <f>NN!L35</f>
        <v>0</v>
      </c>
      <c r="P32" s="5">
        <f>NN!M35</f>
        <v>0</v>
      </c>
      <c r="Q32" s="5">
        <f>NN!N35</f>
        <v>0</v>
      </c>
      <c r="R32" s="5">
        <f>NN!O35</f>
        <v>0</v>
      </c>
      <c r="S32" s="5">
        <f>NN!P35</f>
        <v>0</v>
      </c>
      <c r="T32" s="5">
        <f>NN!Q35</f>
        <v>0</v>
      </c>
      <c r="U32" s="5">
        <f>NN!R35</f>
        <v>0</v>
      </c>
      <c r="V32" s="5">
        <f>NN!S35</f>
        <v>0</v>
      </c>
      <c r="W32" s="5">
        <f>NN!T35</f>
        <v>0</v>
      </c>
      <c r="X32" s="5">
        <f>NN!U35</f>
        <v>0</v>
      </c>
      <c r="Y32" s="13">
        <f>NN!V35</f>
        <v>0</v>
      </c>
      <c r="AA32" s="7">
        <f>NN!Y130</f>
        <v>7</v>
      </c>
      <c r="AB32" s="7">
        <f>NN!AC130</f>
        <v>0.35</v>
      </c>
    </row>
    <row r="33" spans="4:34" x14ac:dyDescent="0.25">
      <c r="D33" s="17">
        <f t="shared" ref="D33:E33" si="6">D9</f>
        <v>2</v>
      </c>
      <c r="E33" s="17">
        <f t="shared" si="6"/>
        <v>4</v>
      </c>
      <c r="F33" s="12">
        <f>NN!C36</f>
        <v>0</v>
      </c>
      <c r="G33" s="5">
        <f>NN!D36</f>
        <v>0</v>
      </c>
      <c r="H33" s="5">
        <f>NN!E36</f>
        <v>0</v>
      </c>
      <c r="I33" s="5">
        <f>NN!F36</f>
        <v>0</v>
      </c>
      <c r="J33" s="5">
        <f>NN!G36</f>
        <v>0</v>
      </c>
      <c r="K33" s="5">
        <f>NN!H36</f>
        <v>0</v>
      </c>
      <c r="L33" s="5">
        <f>NN!I36</f>
        <v>0</v>
      </c>
      <c r="M33" s="5">
        <f>NN!J36</f>
        <v>0</v>
      </c>
      <c r="N33" s="5">
        <f>NN!K36</f>
        <v>0</v>
      </c>
      <c r="O33" s="5">
        <f>NN!L36</f>
        <v>0</v>
      </c>
      <c r="P33" s="5">
        <f>NN!M36</f>
        <v>0</v>
      </c>
      <c r="Q33" s="5">
        <f>NN!N36</f>
        <v>0</v>
      </c>
      <c r="R33" s="5">
        <f>NN!O36</f>
        <v>0</v>
      </c>
      <c r="S33" s="5">
        <f>NN!P36</f>
        <v>0</v>
      </c>
      <c r="T33" s="5">
        <f>NN!Q36</f>
        <v>0</v>
      </c>
      <c r="U33" s="5">
        <f>NN!R36</f>
        <v>0</v>
      </c>
      <c r="V33" s="5">
        <f>NN!S36</f>
        <v>0</v>
      </c>
      <c r="W33" s="5">
        <f>NN!T36</f>
        <v>0</v>
      </c>
      <c r="X33" s="5">
        <f>NN!U36</f>
        <v>0</v>
      </c>
      <c r="Y33" s="13">
        <f>NN!V36</f>
        <v>0</v>
      </c>
      <c r="AA33" s="7">
        <f>NN!Y131</f>
        <v>0</v>
      </c>
      <c r="AB33" s="7">
        <f>NN!AC131</f>
        <v>0</v>
      </c>
    </row>
    <row r="34" spans="4:34" x14ac:dyDescent="0.25">
      <c r="D34" s="17">
        <f t="shared" ref="D34:E34" si="7">D10</f>
        <v>4</v>
      </c>
      <c r="E34" s="17">
        <f t="shared" si="7"/>
        <v>6</v>
      </c>
      <c r="F34" s="12">
        <f>NN!C37</f>
        <v>0</v>
      </c>
      <c r="G34" s="5">
        <f>NN!D37</f>
        <v>0</v>
      </c>
      <c r="H34" s="5">
        <f>NN!E37</f>
        <v>0</v>
      </c>
      <c r="I34" s="5">
        <f>NN!F37</f>
        <v>0</v>
      </c>
      <c r="J34" s="5">
        <f>NN!G37</f>
        <v>0</v>
      </c>
      <c r="K34" s="5">
        <f>NN!H37</f>
        <v>0</v>
      </c>
      <c r="L34" s="5">
        <f>NN!I37</f>
        <v>0</v>
      </c>
      <c r="M34" s="5">
        <f>NN!J37</f>
        <v>0</v>
      </c>
      <c r="N34" s="5">
        <f>NN!K37</f>
        <v>0</v>
      </c>
      <c r="O34" s="5">
        <f>NN!L37</f>
        <v>0</v>
      </c>
      <c r="P34" s="5">
        <f>NN!M37</f>
        <v>0</v>
      </c>
      <c r="Q34" s="5">
        <f>NN!N37</f>
        <v>0</v>
      </c>
      <c r="R34" s="5">
        <f>NN!O37</f>
        <v>0</v>
      </c>
      <c r="S34" s="5">
        <f>NN!P37</f>
        <v>0</v>
      </c>
      <c r="T34" s="5">
        <f>NN!Q37</f>
        <v>0</v>
      </c>
      <c r="U34" s="5">
        <f>NN!R37</f>
        <v>0</v>
      </c>
      <c r="V34" s="5">
        <f>NN!S37</f>
        <v>0</v>
      </c>
      <c r="W34" s="5">
        <f>NN!T37</f>
        <v>0</v>
      </c>
      <c r="X34" s="5">
        <f>NN!U37</f>
        <v>0</v>
      </c>
      <c r="Y34" s="13">
        <f>NN!V37</f>
        <v>1</v>
      </c>
      <c r="AA34" s="7">
        <f>NN!Y132</f>
        <v>20</v>
      </c>
      <c r="AB34" s="7">
        <f>NN!AC132</f>
        <v>1</v>
      </c>
    </row>
    <row r="35" spans="4:34" x14ac:dyDescent="0.25">
      <c r="D35" s="17">
        <f t="shared" ref="D35:E35" si="8">D11</f>
        <v>1</v>
      </c>
      <c r="E35" s="17">
        <f t="shared" si="8"/>
        <v>16</v>
      </c>
      <c r="F35" s="12">
        <f>NN!C38</f>
        <v>0</v>
      </c>
      <c r="G35" s="5">
        <f>NN!D38</f>
        <v>0</v>
      </c>
      <c r="H35" s="5">
        <f>NN!E38</f>
        <v>0</v>
      </c>
      <c r="I35" s="5">
        <f>NN!F38</f>
        <v>0</v>
      </c>
      <c r="J35" s="5">
        <f>NN!G38</f>
        <v>0</v>
      </c>
      <c r="K35" s="5">
        <f>NN!H38</f>
        <v>0</v>
      </c>
      <c r="L35" s="5">
        <f>NN!I38</f>
        <v>0</v>
      </c>
      <c r="M35" s="5">
        <f>NN!J38</f>
        <v>0</v>
      </c>
      <c r="N35" s="5">
        <f>NN!K38</f>
        <v>0</v>
      </c>
      <c r="O35" s="5">
        <f>NN!L38</f>
        <v>0</v>
      </c>
      <c r="P35" s="5">
        <f>NN!M38</f>
        <v>0</v>
      </c>
      <c r="Q35" s="5">
        <f>NN!N38</f>
        <v>0</v>
      </c>
      <c r="R35" s="5">
        <f>NN!O38</f>
        <v>0</v>
      </c>
      <c r="S35" s="5">
        <f>NN!P38</f>
        <v>0</v>
      </c>
      <c r="T35" s="5">
        <f>NN!Q38</f>
        <v>0</v>
      </c>
      <c r="U35" s="5">
        <f>NN!R38</f>
        <v>0</v>
      </c>
      <c r="V35" s="5">
        <f>NN!S38</f>
        <v>0</v>
      </c>
      <c r="W35" s="5">
        <f>NN!T38</f>
        <v>0</v>
      </c>
      <c r="X35" s="5">
        <f>NN!U38</f>
        <v>0</v>
      </c>
      <c r="Y35" s="13">
        <f>NN!V38</f>
        <v>0</v>
      </c>
      <c r="AA35" s="7">
        <f>NN!Y133</f>
        <v>0</v>
      </c>
      <c r="AB35" s="7">
        <f>NN!AC133</f>
        <v>0</v>
      </c>
    </row>
    <row r="36" spans="4:34" x14ac:dyDescent="0.25">
      <c r="D36" s="17">
        <f t="shared" ref="D36:E36" si="9">D12</f>
        <v>8</v>
      </c>
      <c r="E36" s="17">
        <f t="shared" si="9"/>
        <v>1</v>
      </c>
      <c r="F36" s="12">
        <f>NN!C39</f>
        <v>0</v>
      </c>
      <c r="G36" s="5">
        <f>NN!D39</f>
        <v>0</v>
      </c>
      <c r="H36" s="5">
        <f>NN!E39</f>
        <v>0</v>
      </c>
      <c r="I36" s="5">
        <f>NN!F39</f>
        <v>0</v>
      </c>
      <c r="J36" s="5">
        <f>NN!G39</f>
        <v>0</v>
      </c>
      <c r="K36" s="5">
        <f>NN!H39</f>
        <v>0</v>
      </c>
      <c r="L36" s="5">
        <f>NN!I39</f>
        <v>0</v>
      </c>
      <c r="M36" s="5">
        <f>NN!J39</f>
        <v>0</v>
      </c>
      <c r="N36" s="5">
        <f>NN!K39</f>
        <v>0</v>
      </c>
      <c r="O36" s="5">
        <f>NN!L39</f>
        <v>0</v>
      </c>
      <c r="P36" s="5">
        <f>NN!M39</f>
        <v>0</v>
      </c>
      <c r="Q36" s="5">
        <f>NN!N39</f>
        <v>0</v>
      </c>
      <c r="R36" s="5">
        <f>NN!O39</f>
        <v>0</v>
      </c>
      <c r="S36" s="5">
        <f>NN!P39</f>
        <v>0</v>
      </c>
      <c r="T36" s="5">
        <f>NN!Q39</f>
        <v>0</v>
      </c>
      <c r="U36" s="5">
        <f>NN!R39</f>
        <v>0</v>
      </c>
      <c r="V36" s="5">
        <f>NN!S39</f>
        <v>0</v>
      </c>
      <c r="W36" s="5">
        <f>NN!T39</f>
        <v>0</v>
      </c>
      <c r="X36" s="5">
        <f>NN!U39</f>
        <v>0</v>
      </c>
      <c r="Y36" s="13">
        <f>NN!V39</f>
        <v>0</v>
      </c>
      <c r="AA36" s="7">
        <f>NN!Y134</f>
        <v>0</v>
      </c>
      <c r="AB36" s="7">
        <f>NN!AC134</f>
        <v>0</v>
      </c>
    </row>
    <row r="37" spans="4:34" x14ac:dyDescent="0.25">
      <c r="D37" s="17">
        <f t="shared" ref="D37:E37" si="10">D13</f>
        <v>9</v>
      </c>
      <c r="E37" s="17">
        <f t="shared" si="10"/>
        <v>6</v>
      </c>
      <c r="F37" s="12">
        <f>NN!C40</f>
        <v>0</v>
      </c>
      <c r="G37" s="5">
        <f>NN!D40</f>
        <v>0</v>
      </c>
      <c r="H37" s="5">
        <f>NN!E40</f>
        <v>0</v>
      </c>
      <c r="I37" s="5">
        <f>NN!F40</f>
        <v>0</v>
      </c>
      <c r="J37" s="5">
        <f>NN!G40</f>
        <v>0</v>
      </c>
      <c r="K37" s="5">
        <f>NN!H40</f>
        <v>0</v>
      </c>
      <c r="L37" s="5">
        <f>NN!I40</f>
        <v>0</v>
      </c>
      <c r="M37" s="5">
        <f>NN!J40</f>
        <v>1</v>
      </c>
      <c r="N37" s="5">
        <f>NN!K40</f>
        <v>0</v>
      </c>
      <c r="O37" s="5">
        <f>NN!L40</f>
        <v>0</v>
      </c>
      <c r="P37" s="5">
        <f>NN!M40</f>
        <v>0</v>
      </c>
      <c r="Q37" s="5">
        <f>NN!N40</f>
        <v>0</v>
      </c>
      <c r="R37" s="5">
        <f>NN!O40</f>
        <v>0</v>
      </c>
      <c r="S37" s="5">
        <f>NN!P40</f>
        <v>0</v>
      </c>
      <c r="T37" s="5">
        <f>NN!Q40</f>
        <v>0</v>
      </c>
      <c r="U37" s="5">
        <f>NN!R40</f>
        <v>0</v>
      </c>
      <c r="V37" s="5">
        <f>NN!S40</f>
        <v>0</v>
      </c>
      <c r="W37" s="5">
        <f>NN!T40</f>
        <v>0</v>
      </c>
      <c r="X37" s="5">
        <f>NN!U40</f>
        <v>0</v>
      </c>
      <c r="Y37" s="13">
        <f>NN!V40</f>
        <v>0</v>
      </c>
      <c r="AA37" s="7">
        <f>NN!Y135</f>
        <v>8</v>
      </c>
      <c r="AB37" s="7">
        <f>NN!AC135</f>
        <v>0.4</v>
      </c>
    </row>
    <row r="38" spans="4:34" x14ac:dyDescent="0.25">
      <c r="D38" s="17">
        <f t="shared" ref="D38:E38" si="11">D14</f>
        <v>13</v>
      </c>
      <c r="E38" s="17">
        <f t="shared" si="11"/>
        <v>3</v>
      </c>
      <c r="F38" s="12">
        <f>NN!C41</f>
        <v>0</v>
      </c>
      <c r="G38" s="5">
        <f>NN!D41</f>
        <v>0</v>
      </c>
      <c r="H38" s="5">
        <f>NN!E41</f>
        <v>0</v>
      </c>
      <c r="I38" s="5">
        <f>NN!F41</f>
        <v>0</v>
      </c>
      <c r="J38" s="5">
        <f>NN!G41</f>
        <v>0</v>
      </c>
      <c r="K38" s="5">
        <f>NN!H41</f>
        <v>0</v>
      </c>
      <c r="L38" s="5">
        <f>NN!I41</f>
        <v>0</v>
      </c>
      <c r="M38" s="5">
        <f>NN!J41</f>
        <v>0</v>
      </c>
      <c r="N38" s="5">
        <f>NN!K41</f>
        <v>0</v>
      </c>
      <c r="O38" s="5">
        <f>NN!L41</f>
        <v>0</v>
      </c>
      <c r="P38" s="5">
        <f>NN!M41</f>
        <v>0</v>
      </c>
      <c r="Q38" s="5">
        <f>NN!N41</f>
        <v>0</v>
      </c>
      <c r="R38" s="5">
        <f>NN!O41</f>
        <v>0</v>
      </c>
      <c r="S38" s="5">
        <f>NN!P41</f>
        <v>0</v>
      </c>
      <c r="T38" s="5">
        <f>NN!Q41</f>
        <v>0</v>
      </c>
      <c r="U38" s="5">
        <f>NN!R41</f>
        <v>0</v>
      </c>
      <c r="V38" s="5">
        <f>NN!S41</f>
        <v>0</v>
      </c>
      <c r="W38" s="5">
        <f>NN!T41</f>
        <v>0</v>
      </c>
      <c r="X38" s="5">
        <f>NN!U41</f>
        <v>0</v>
      </c>
      <c r="Y38" s="13">
        <f>NN!V41</f>
        <v>0</v>
      </c>
      <c r="AA38" s="7">
        <f>NN!Y136</f>
        <v>0</v>
      </c>
      <c r="AB38" s="7">
        <f>NN!AC136</f>
        <v>0</v>
      </c>
    </row>
    <row r="39" spans="4:34" x14ac:dyDescent="0.25">
      <c r="D39" s="17">
        <f t="shared" ref="D39:E39" si="12">D15</f>
        <v>3</v>
      </c>
      <c r="E39" s="17">
        <f t="shared" si="12"/>
        <v>10</v>
      </c>
      <c r="F39" s="12">
        <f>NN!C42</f>
        <v>0</v>
      </c>
      <c r="G39" s="5">
        <f>NN!D42</f>
        <v>0</v>
      </c>
      <c r="H39" s="5">
        <f>NN!E42</f>
        <v>0</v>
      </c>
      <c r="I39" s="5">
        <f>NN!F42</f>
        <v>0</v>
      </c>
      <c r="J39" s="5">
        <f>NN!G42</f>
        <v>0</v>
      </c>
      <c r="K39" s="5">
        <f>NN!H42</f>
        <v>0</v>
      </c>
      <c r="L39" s="5">
        <f>NN!I42</f>
        <v>0</v>
      </c>
      <c r="M39" s="5">
        <f>NN!J42</f>
        <v>0</v>
      </c>
      <c r="N39" s="5">
        <f>NN!K42</f>
        <v>0</v>
      </c>
      <c r="O39" s="5">
        <f>NN!L42</f>
        <v>0</v>
      </c>
      <c r="P39" s="5">
        <f>NN!M42</f>
        <v>0</v>
      </c>
      <c r="Q39" s="5">
        <f>NN!N42</f>
        <v>0</v>
      </c>
      <c r="R39" s="5">
        <f>NN!O42</f>
        <v>0</v>
      </c>
      <c r="S39" s="5">
        <f>NN!P42</f>
        <v>0</v>
      </c>
      <c r="T39" s="5">
        <f>NN!Q42</f>
        <v>0</v>
      </c>
      <c r="U39" s="5">
        <f>NN!R42</f>
        <v>0</v>
      </c>
      <c r="V39" s="5">
        <f>NN!S42</f>
        <v>0</v>
      </c>
      <c r="W39" s="5">
        <f>NN!T42</f>
        <v>0</v>
      </c>
      <c r="X39" s="5">
        <f>NN!U42</f>
        <v>0</v>
      </c>
      <c r="Y39" s="13">
        <f>NN!V42</f>
        <v>0</v>
      </c>
      <c r="AA39" s="7">
        <f>NN!Y137</f>
        <v>0</v>
      </c>
      <c r="AB39" s="7">
        <f>NN!AC137</f>
        <v>0</v>
      </c>
    </row>
    <row r="40" spans="4:34" x14ac:dyDescent="0.25">
      <c r="D40" s="17">
        <f t="shared" ref="D40:E40" si="13">D16</f>
        <v>13</v>
      </c>
      <c r="E40" s="17">
        <f t="shared" si="13"/>
        <v>14</v>
      </c>
      <c r="F40" s="12">
        <f>NN!C43</f>
        <v>0</v>
      </c>
      <c r="G40" s="5">
        <f>NN!D43</f>
        <v>0</v>
      </c>
      <c r="H40" s="5">
        <f>NN!E43</f>
        <v>0</v>
      </c>
      <c r="I40" s="5">
        <f>NN!F43</f>
        <v>0</v>
      </c>
      <c r="J40" s="5">
        <f>NN!G43</f>
        <v>0</v>
      </c>
      <c r="K40" s="5">
        <f>NN!H43</f>
        <v>0</v>
      </c>
      <c r="L40" s="5">
        <f>NN!I43</f>
        <v>0</v>
      </c>
      <c r="M40" s="5">
        <f>NN!J43</f>
        <v>0</v>
      </c>
      <c r="N40" s="5">
        <f>NN!K43</f>
        <v>0</v>
      </c>
      <c r="O40" s="5">
        <f>NN!L43</f>
        <v>0</v>
      </c>
      <c r="P40" s="5">
        <f>NN!M43</f>
        <v>1</v>
      </c>
      <c r="Q40" s="5">
        <f>NN!N43</f>
        <v>0</v>
      </c>
      <c r="R40" s="5">
        <f>NN!O43</f>
        <v>0</v>
      </c>
      <c r="S40" s="5">
        <f>NN!P43</f>
        <v>0</v>
      </c>
      <c r="T40" s="5">
        <f>NN!Q43</f>
        <v>0</v>
      </c>
      <c r="U40" s="5">
        <f>NN!R43</f>
        <v>0</v>
      </c>
      <c r="V40" s="5">
        <f>NN!S43</f>
        <v>0</v>
      </c>
      <c r="W40" s="5">
        <f>NN!T43</f>
        <v>0</v>
      </c>
      <c r="X40" s="5">
        <f>NN!U43</f>
        <v>0</v>
      </c>
      <c r="Y40" s="13">
        <f>NN!V43</f>
        <v>0</v>
      </c>
      <c r="AA40" s="7">
        <f>NN!Y138</f>
        <v>11</v>
      </c>
      <c r="AB40" s="7">
        <f>NN!AC138</f>
        <v>0.55000000000000004</v>
      </c>
    </row>
    <row r="41" spans="4:34" x14ac:dyDescent="0.25">
      <c r="D41" s="17">
        <f t="shared" ref="D41:E41" si="14">D17</f>
        <v>12</v>
      </c>
      <c r="E41" s="17">
        <f t="shared" si="14"/>
        <v>16</v>
      </c>
      <c r="F41" s="12">
        <f>NN!C44</f>
        <v>0</v>
      </c>
      <c r="G41" s="5">
        <f>NN!D44</f>
        <v>0</v>
      </c>
      <c r="H41" s="5">
        <f>NN!E44</f>
        <v>0</v>
      </c>
      <c r="I41" s="5">
        <f>NN!F44</f>
        <v>0</v>
      </c>
      <c r="J41" s="5">
        <f>NN!G44</f>
        <v>0</v>
      </c>
      <c r="K41" s="5">
        <f>NN!H44</f>
        <v>0</v>
      </c>
      <c r="L41" s="5">
        <f>NN!I44</f>
        <v>0</v>
      </c>
      <c r="M41" s="5">
        <f>NN!J44</f>
        <v>0</v>
      </c>
      <c r="N41" s="5">
        <f>NN!K44</f>
        <v>0</v>
      </c>
      <c r="O41" s="5">
        <f>NN!L44</f>
        <v>0</v>
      </c>
      <c r="P41" s="5">
        <f>NN!M44</f>
        <v>0</v>
      </c>
      <c r="Q41" s="5">
        <f>NN!N44</f>
        <v>0</v>
      </c>
      <c r="R41" s="5">
        <f>NN!O44</f>
        <v>1</v>
      </c>
      <c r="S41" s="5">
        <f>NN!P44</f>
        <v>0</v>
      </c>
      <c r="T41" s="5">
        <f>NN!Q44</f>
        <v>0</v>
      </c>
      <c r="U41" s="5">
        <f>NN!R44</f>
        <v>0</v>
      </c>
      <c r="V41" s="5">
        <f>NN!S44</f>
        <v>0</v>
      </c>
      <c r="W41" s="5">
        <f>NN!T44</f>
        <v>0</v>
      </c>
      <c r="X41" s="5">
        <f>NN!U44</f>
        <v>0</v>
      </c>
      <c r="Y41" s="13">
        <f>NN!V44</f>
        <v>0</v>
      </c>
      <c r="AA41" s="7">
        <f>NN!Y139</f>
        <v>13</v>
      </c>
      <c r="AB41" s="7">
        <f>NN!AC139</f>
        <v>0.65</v>
      </c>
    </row>
    <row r="42" spans="4:34" x14ac:dyDescent="0.25">
      <c r="D42" s="17">
        <f t="shared" ref="D42:E42" si="15">D18</f>
        <v>11</v>
      </c>
      <c r="E42" s="17">
        <f t="shared" si="15"/>
        <v>14</v>
      </c>
      <c r="F42" s="12">
        <f>NN!C45</f>
        <v>0</v>
      </c>
      <c r="G42" s="5">
        <f>NN!D45</f>
        <v>0</v>
      </c>
      <c r="H42" s="5">
        <f>NN!E45</f>
        <v>0</v>
      </c>
      <c r="I42" s="5">
        <f>NN!F45</f>
        <v>0</v>
      </c>
      <c r="J42" s="5">
        <f>NN!G45</f>
        <v>0</v>
      </c>
      <c r="K42" s="5">
        <f>NN!H45</f>
        <v>0</v>
      </c>
      <c r="L42" s="5">
        <f>NN!I45</f>
        <v>0</v>
      </c>
      <c r="M42" s="5">
        <f>NN!J45</f>
        <v>0</v>
      </c>
      <c r="N42" s="5">
        <f>NN!K45</f>
        <v>0</v>
      </c>
      <c r="O42" s="5">
        <f>NN!L45</f>
        <v>1</v>
      </c>
      <c r="P42" s="5">
        <f>NN!M45</f>
        <v>0</v>
      </c>
      <c r="Q42" s="5">
        <f>NN!N45</f>
        <v>0</v>
      </c>
      <c r="R42" s="5">
        <f>NN!O45</f>
        <v>0</v>
      </c>
      <c r="S42" s="5">
        <f>NN!P45</f>
        <v>0</v>
      </c>
      <c r="T42" s="5">
        <f>NN!Q45</f>
        <v>0</v>
      </c>
      <c r="U42" s="5">
        <f>NN!R45</f>
        <v>0</v>
      </c>
      <c r="V42" s="5">
        <f>NN!S45</f>
        <v>0</v>
      </c>
      <c r="W42" s="5">
        <f>NN!T45</f>
        <v>0</v>
      </c>
      <c r="X42" s="5">
        <f>NN!U45</f>
        <v>0</v>
      </c>
      <c r="Y42" s="13">
        <f>NN!V45</f>
        <v>0</v>
      </c>
      <c r="AA42" s="7">
        <f>NN!Y140</f>
        <v>10</v>
      </c>
      <c r="AB42" s="7">
        <f>NN!AC140</f>
        <v>0.5</v>
      </c>
    </row>
    <row r="43" spans="4:34" x14ac:dyDescent="0.25">
      <c r="D43" s="17">
        <f t="shared" ref="D43:E43" si="16">D19</f>
        <v>19</v>
      </c>
      <c r="E43" s="17">
        <f t="shared" si="16"/>
        <v>14</v>
      </c>
      <c r="F43" s="12">
        <f>NN!C46</f>
        <v>0</v>
      </c>
      <c r="G43" s="5">
        <f>NN!D46</f>
        <v>0</v>
      </c>
      <c r="H43" s="5">
        <f>NN!E46</f>
        <v>0</v>
      </c>
      <c r="I43" s="5">
        <f>NN!F46</f>
        <v>0</v>
      </c>
      <c r="J43" s="5">
        <f>NN!G46</f>
        <v>0</v>
      </c>
      <c r="K43" s="5">
        <f>NN!H46</f>
        <v>0</v>
      </c>
      <c r="L43" s="5">
        <f>NN!I46</f>
        <v>0</v>
      </c>
      <c r="M43" s="5">
        <f>NN!J46</f>
        <v>0</v>
      </c>
      <c r="N43" s="5">
        <f>NN!K46</f>
        <v>0</v>
      </c>
      <c r="O43" s="5">
        <f>NN!L46</f>
        <v>0</v>
      </c>
      <c r="P43" s="5">
        <f>NN!M46</f>
        <v>0</v>
      </c>
      <c r="Q43" s="5">
        <f>NN!N46</f>
        <v>0</v>
      </c>
      <c r="R43" s="5">
        <f>NN!O46</f>
        <v>0</v>
      </c>
      <c r="S43" s="5">
        <f>NN!P46</f>
        <v>0</v>
      </c>
      <c r="T43" s="5">
        <f>NN!Q46</f>
        <v>0</v>
      </c>
      <c r="U43" s="5">
        <f>NN!R46</f>
        <v>1</v>
      </c>
      <c r="V43" s="5">
        <f>NN!S46</f>
        <v>0</v>
      </c>
      <c r="W43" s="5">
        <f>NN!T46</f>
        <v>0</v>
      </c>
      <c r="X43" s="5">
        <f>NN!U46</f>
        <v>0</v>
      </c>
      <c r="Y43" s="13">
        <f>NN!V46</f>
        <v>0</v>
      </c>
      <c r="AA43" s="7">
        <f>NN!Y141</f>
        <v>16</v>
      </c>
      <c r="AB43" s="7">
        <f>NN!AC141</f>
        <v>0.8</v>
      </c>
    </row>
    <row r="44" spans="4:34" x14ac:dyDescent="0.25">
      <c r="D44" s="17">
        <f t="shared" ref="D44:E44" si="17">D20</f>
        <v>6</v>
      </c>
      <c r="E44" s="17">
        <f t="shared" si="17"/>
        <v>2</v>
      </c>
      <c r="F44" s="12">
        <f>NN!C47</f>
        <v>0</v>
      </c>
      <c r="G44" s="5">
        <f>NN!D47</f>
        <v>0</v>
      </c>
      <c r="H44" s="5">
        <f>NN!E47</f>
        <v>0</v>
      </c>
      <c r="I44" s="5">
        <f>NN!F47</f>
        <v>0</v>
      </c>
      <c r="J44" s="5">
        <f>NN!G47</f>
        <v>0</v>
      </c>
      <c r="K44" s="5">
        <f>NN!H47</f>
        <v>1</v>
      </c>
      <c r="L44" s="5">
        <f>NN!I47</f>
        <v>0</v>
      </c>
      <c r="M44" s="5">
        <f>NN!J47</f>
        <v>0</v>
      </c>
      <c r="N44" s="5">
        <f>NN!K47</f>
        <v>0</v>
      </c>
      <c r="O44" s="5">
        <f>NN!L47</f>
        <v>0</v>
      </c>
      <c r="P44" s="5">
        <f>NN!M47</f>
        <v>0</v>
      </c>
      <c r="Q44" s="5">
        <f>NN!N47</f>
        <v>0</v>
      </c>
      <c r="R44" s="5">
        <f>NN!O47</f>
        <v>0</v>
      </c>
      <c r="S44" s="5">
        <f>NN!P47</f>
        <v>0</v>
      </c>
      <c r="T44" s="5">
        <f>NN!Q47</f>
        <v>0</v>
      </c>
      <c r="U44" s="5">
        <f>NN!R47</f>
        <v>0</v>
      </c>
      <c r="V44" s="5">
        <f>NN!S47</f>
        <v>0</v>
      </c>
      <c r="W44" s="5">
        <f>NN!T47</f>
        <v>0</v>
      </c>
      <c r="X44" s="5">
        <f>NN!U47</f>
        <v>0</v>
      </c>
      <c r="Y44" s="13">
        <f>NN!V47</f>
        <v>0</v>
      </c>
      <c r="AA44" s="7">
        <f>NN!Y142</f>
        <v>6</v>
      </c>
      <c r="AB44" s="7">
        <f>NN!AC142</f>
        <v>0.3</v>
      </c>
    </row>
    <row r="45" spans="4:34" x14ac:dyDescent="0.25">
      <c r="D45" s="17">
        <f t="shared" ref="D45:E45" si="18">D21</f>
        <v>2</v>
      </c>
      <c r="E45" s="17">
        <f t="shared" si="18"/>
        <v>14</v>
      </c>
      <c r="F45" s="12">
        <f>NN!C48</f>
        <v>0</v>
      </c>
      <c r="G45" s="5">
        <f>NN!D48</f>
        <v>0</v>
      </c>
      <c r="H45" s="5">
        <f>NN!E48</f>
        <v>0</v>
      </c>
      <c r="I45" s="5">
        <f>NN!F48</f>
        <v>0</v>
      </c>
      <c r="J45" s="5">
        <f>NN!G48</f>
        <v>1</v>
      </c>
      <c r="K45" s="5">
        <f>NN!H48</f>
        <v>0</v>
      </c>
      <c r="L45" s="5">
        <f>NN!I48</f>
        <v>0</v>
      </c>
      <c r="M45" s="5">
        <f>NN!J48</f>
        <v>0</v>
      </c>
      <c r="N45" s="5">
        <f>NN!K48</f>
        <v>0</v>
      </c>
      <c r="O45" s="5">
        <f>NN!L48</f>
        <v>0</v>
      </c>
      <c r="P45" s="5">
        <f>NN!M48</f>
        <v>0</v>
      </c>
      <c r="Q45" s="5">
        <f>NN!N48</f>
        <v>0</v>
      </c>
      <c r="R45" s="5">
        <f>NN!O48</f>
        <v>0</v>
      </c>
      <c r="S45" s="5">
        <f>NN!P48</f>
        <v>0</v>
      </c>
      <c r="T45" s="5">
        <f>NN!Q48</f>
        <v>0</v>
      </c>
      <c r="U45" s="5">
        <f>NN!R48</f>
        <v>0</v>
      </c>
      <c r="V45" s="5">
        <f>NN!S48</f>
        <v>0</v>
      </c>
      <c r="W45" s="5">
        <f>NN!T48</f>
        <v>0</v>
      </c>
      <c r="X45" s="5">
        <f>NN!U48</f>
        <v>0</v>
      </c>
      <c r="Y45" s="13">
        <f>NN!V48</f>
        <v>0</v>
      </c>
      <c r="AA45" s="7">
        <f>NN!Y143</f>
        <v>5</v>
      </c>
      <c r="AB45" s="7">
        <f>NN!AC143</f>
        <v>0.25</v>
      </c>
    </row>
    <row r="46" spans="4:34" x14ac:dyDescent="0.25">
      <c r="D46" s="17">
        <f t="shared" ref="D46:E46" si="19">D22</f>
        <v>17</v>
      </c>
      <c r="E46" s="17">
        <f t="shared" si="19"/>
        <v>9</v>
      </c>
      <c r="F46" s="12">
        <f>NN!C49</f>
        <v>0</v>
      </c>
      <c r="G46" s="5">
        <f>NN!D49</f>
        <v>0</v>
      </c>
      <c r="H46" s="5">
        <f>NN!E49</f>
        <v>0</v>
      </c>
      <c r="I46" s="5">
        <f>NN!F49</f>
        <v>0</v>
      </c>
      <c r="J46" s="5">
        <f>NN!G49</f>
        <v>0</v>
      </c>
      <c r="K46" s="5">
        <f>NN!H49</f>
        <v>0</v>
      </c>
      <c r="L46" s="5">
        <f>NN!I49</f>
        <v>0</v>
      </c>
      <c r="M46" s="5">
        <f>NN!J49</f>
        <v>0</v>
      </c>
      <c r="N46" s="5">
        <f>NN!K49</f>
        <v>0</v>
      </c>
      <c r="O46" s="5">
        <f>NN!L49</f>
        <v>0</v>
      </c>
      <c r="P46" s="5">
        <f>NN!M49</f>
        <v>0</v>
      </c>
      <c r="Q46" s="5">
        <f>NN!N49</f>
        <v>0</v>
      </c>
      <c r="R46" s="5">
        <f>NN!O49</f>
        <v>0</v>
      </c>
      <c r="S46" s="5">
        <f>NN!P49</f>
        <v>0</v>
      </c>
      <c r="T46" s="5">
        <f>NN!Q49</f>
        <v>0</v>
      </c>
      <c r="U46" s="5">
        <f>NN!R49</f>
        <v>0</v>
      </c>
      <c r="V46" s="5">
        <f>NN!S49</f>
        <v>0</v>
      </c>
      <c r="W46" s="5">
        <f>NN!T49</f>
        <v>0</v>
      </c>
      <c r="X46" s="5">
        <f>NN!U49</f>
        <v>0</v>
      </c>
      <c r="Y46" s="13">
        <f>NN!V49</f>
        <v>0</v>
      </c>
      <c r="AA46" s="7">
        <f>NN!Y144</f>
        <v>0</v>
      </c>
      <c r="AB46" s="7">
        <f>NN!AC144</f>
        <v>0</v>
      </c>
    </row>
    <row r="47" spans="4:34" x14ac:dyDescent="0.25">
      <c r="D47" s="17">
        <f t="shared" ref="D47:E47" si="20">D23</f>
        <v>2</v>
      </c>
      <c r="E47" s="17">
        <f t="shared" si="20"/>
        <v>10</v>
      </c>
      <c r="F47" s="12">
        <f>NN!C50</f>
        <v>0</v>
      </c>
      <c r="G47" s="5">
        <f>NN!D50</f>
        <v>0</v>
      </c>
      <c r="H47" s="5">
        <f>NN!E50</f>
        <v>0</v>
      </c>
      <c r="I47" s="5">
        <f>NN!F50</f>
        <v>0</v>
      </c>
      <c r="J47" s="5">
        <f>NN!G50</f>
        <v>0</v>
      </c>
      <c r="K47" s="5">
        <f>NN!H50</f>
        <v>0</v>
      </c>
      <c r="L47" s="5">
        <f>NN!I50</f>
        <v>0</v>
      </c>
      <c r="M47" s="5">
        <f>NN!J50</f>
        <v>0</v>
      </c>
      <c r="N47" s="5">
        <f>NN!K50</f>
        <v>0</v>
      </c>
      <c r="O47" s="5">
        <f>NN!L50</f>
        <v>0</v>
      </c>
      <c r="P47" s="5">
        <f>NN!M50</f>
        <v>0</v>
      </c>
      <c r="Q47" s="5">
        <f>NN!N50</f>
        <v>0</v>
      </c>
      <c r="R47" s="5">
        <f>NN!O50</f>
        <v>0</v>
      </c>
      <c r="S47" s="5">
        <f>NN!P50</f>
        <v>1</v>
      </c>
      <c r="T47" s="5">
        <f>NN!Q50</f>
        <v>0</v>
      </c>
      <c r="U47" s="5">
        <f>NN!R50</f>
        <v>0</v>
      </c>
      <c r="V47" s="5">
        <f>NN!S50</f>
        <v>0</v>
      </c>
      <c r="W47" s="5">
        <f>NN!T50</f>
        <v>0</v>
      </c>
      <c r="X47" s="5">
        <f>NN!U50</f>
        <v>0</v>
      </c>
      <c r="Y47" s="13">
        <f>NN!V50</f>
        <v>0</v>
      </c>
      <c r="AA47" s="7">
        <f>NN!Y145</f>
        <v>14</v>
      </c>
      <c r="AB47" s="7">
        <f>NN!AC145</f>
        <v>0.7</v>
      </c>
      <c r="AD47" s="1"/>
      <c r="AE47" s="1"/>
      <c r="AF47" s="1"/>
      <c r="AG47" s="1"/>
      <c r="AH47" s="1"/>
    </row>
    <row r="48" spans="4:34" ht="11.5" customHeight="1" thickBot="1" x14ac:dyDescent="0.35">
      <c r="D48" s="17">
        <f t="shared" ref="D48:E48" si="21">D24</f>
        <v>2</v>
      </c>
      <c r="E48" s="17">
        <f t="shared" si="21"/>
        <v>9</v>
      </c>
      <c r="F48" s="14">
        <f>NN!C51</f>
        <v>0</v>
      </c>
      <c r="G48" s="15">
        <f>NN!D51</f>
        <v>0</v>
      </c>
      <c r="H48" s="15">
        <f>NN!E51</f>
        <v>0</v>
      </c>
      <c r="I48" s="15">
        <f>NN!F51</f>
        <v>0</v>
      </c>
      <c r="J48" s="15">
        <f>NN!G51</f>
        <v>0</v>
      </c>
      <c r="K48" s="15">
        <f>NN!H51</f>
        <v>0</v>
      </c>
      <c r="L48" s="15">
        <f>NN!I51</f>
        <v>0</v>
      </c>
      <c r="M48" s="15">
        <f>NN!J51</f>
        <v>0</v>
      </c>
      <c r="N48" s="15">
        <f>NN!K51</f>
        <v>0</v>
      </c>
      <c r="O48" s="15">
        <f>NN!L51</f>
        <v>0</v>
      </c>
      <c r="P48" s="15">
        <f>NN!M51</f>
        <v>0</v>
      </c>
      <c r="Q48" s="15">
        <f>NN!N51</f>
        <v>0</v>
      </c>
      <c r="R48" s="15">
        <f>NN!O51</f>
        <v>0</v>
      </c>
      <c r="S48" s="15">
        <f>NN!P51</f>
        <v>0</v>
      </c>
      <c r="T48" s="15">
        <f>NN!Q51</f>
        <v>0</v>
      </c>
      <c r="U48" s="15">
        <f>NN!R51</f>
        <v>0</v>
      </c>
      <c r="V48" s="15">
        <f>NN!S51</f>
        <v>0</v>
      </c>
      <c r="W48" s="15">
        <f>NN!T51</f>
        <v>1</v>
      </c>
      <c r="X48" s="15">
        <f>NN!U51</f>
        <v>0</v>
      </c>
      <c r="Y48" s="16">
        <f>NN!V51</f>
        <v>0</v>
      </c>
      <c r="AA48" s="7">
        <f>NN!Y146</f>
        <v>18</v>
      </c>
      <c r="AB48" s="7">
        <f>NN!AC146</f>
        <v>0.9</v>
      </c>
      <c r="AD48" s="46" t="s">
        <v>19</v>
      </c>
      <c r="AE48" s="46" t="s">
        <v>18</v>
      </c>
      <c r="AF48" s="46" t="s">
        <v>17</v>
      </c>
      <c r="AG48" s="46" t="s">
        <v>16</v>
      </c>
      <c r="AH48" s="46" t="s">
        <v>2</v>
      </c>
    </row>
    <row r="49" spans="30:34" ht="19" thickTop="1" x14ac:dyDescent="0.45">
      <c r="AD49" s="47">
        <v>7000</v>
      </c>
      <c r="AE49" s="47">
        <f>NN!X51</f>
        <v>14</v>
      </c>
      <c r="AF49" s="48">
        <f>NN!AC76</f>
        <v>2.277996149752501</v>
      </c>
      <c r="AG49" s="49">
        <f>NN!Y7</f>
        <v>-6.0428571428571498E-2</v>
      </c>
      <c r="AH49" s="50">
        <f>NN!AC2</f>
        <v>1.0605714285714285</v>
      </c>
    </row>
    <row r="60" spans="30:34" x14ac:dyDescent="0.25">
      <c r="AD60" s="3" t="s">
        <v>23</v>
      </c>
    </row>
  </sheetData>
  <conditionalFormatting sqref="F29:Y48">
    <cfRule type="cellIs" dxfId="0" priority="2" operator="equal">
      <formula>1</formula>
    </cfRule>
  </conditionalFormatting>
  <conditionalFormatting sqref="F5:Y24">
    <cfRule type="colorScale" priority="3">
      <colorScale>
        <cfvo type="min"/>
        <cfvo type="max"/>
        <color rgb="FFFFC000"/>
        <color rgb="FFFF00FF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inimizeEnergy">
                <anchor moveWithCells="1">
                  <from>
                    <xdr:col>32</xdr:col>
                    <xdr:colOff>76200</xdr:colOff>
                    <xdr:row>23</xdr:row>
                    <xdr:rowOff>6350</xdr:rowOff>
                  </from>
                  <to>
                    <xdr:col>33</xdr:col>
                    <xdr:colOff>139700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creensaver">
                <anchor moveWithCells="1">
                  <from>
                    <xdr:col>34</xdr:col>
                    <xdr:colOff>107950</xdr:colOff>
                    <xdr:row>22</xdr:row>
                    <xdr:rowOff>127000</xdr:rowOff>
                  </from>
                  <to>
                    <xdr:col>38</xdr:col>
                    <xdr:colOff>88900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est">
                <anchor moveWithCells="1">
                  <from>
                    <xdr:col>32</xdr:col>
                    <xdr:colOff>82550</xdr:colOff>
                    <xdr:row>31</xdr:row>
                    <xdr:rowOff>25400</xdr:rowOff>
                  </from>
                  <to>
                    <xdr:col>33</xdr:col>
                    <xdr:colOff>146050</xdr:colOff>
                    <xdr:row>36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NN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Gregory Wyche</dc:creator>
  <cp:lastModifiedBy>Gregory Wyche</cp:lastModifiedBy>
  <dcterms:created xsi:type="dcterms:W3CDTF">2024-10-20T22:21:21Z</dcterms:created>
  <dcterms:modified xsi:type="dcterms:W3CDTF">2024-12-23T22:56:28Z</dcterms:modified>
</cp:coreProperties>
</file>